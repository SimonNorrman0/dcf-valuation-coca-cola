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ôj PC\Desktop\"/>
    </mc:Choice>
  </mc:AlternateContent>
  <xr:revisionPtr revIDLastSave="0" documentId="13_ncr:1_{5BDF13C7-C8B0-4568-90C0-0F57973137C7}" xr6:coauthVersionLast="47" xr6:coauthVersionMax="47" xr10:uidLastSave="{00000000-0000-0000-0000-000000000000}"/>
  <bookViews>
    <workbookView xWindow="-120" yWindow="-120" windowWidth="29040" windowHeight="15840" tabRatio="500" firstSheet="2" activeTab="6" xr2:uid="{00000000-000D-0000-FFFF-FFFF00000000}"/>
  </bookViews>
  <sheets>
    <sheet name="Cover" sheetId="1" r:id="rId1"/>
    <sheet name="Assumptions" sheetId="2" r:id="rId2"/>
    <sheet name="Historical Financials" sheetId="3" r:id="rId3"/>
    <sheet name="Forecast" sheetId="4" r:id="rId4"/>
    <sheet name="WACC" sheetId="5" r:id="rId5"/>
    <sheet name="Free Cash Flow" sheetId="6" r:id="rId6"/>
    <sheet name="DCF &amp; Sensitivit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6" l="1"/>
  <c r="J10" i="7" s="1"/>
  <c r="G24" i="3"/>
  <c r="D24" i="3"/>
  <c r="J9" i="7"/>
  <c r="D5" i="6"/>
  <c r="E5" i="6" s="1"/>
  <c r="F5" i="6" s="1"/>
  <c r="G5" i="6" s="1"/>
  <c r="C20" i="5"/>
  <c r="C19" i="5"/>
  <c r="C14" i="5"/>
  <c r="C13" i="5"/>
  <c r="C15" i="5" s="1"/>
  <c r="C8" i="5"/>
  <c r="C7" i="5"/>
  <c r="C6" i="5"/>
  <c r="C9" i="5" s="1"/>
  <c r="D21" i="4"/>
  <c r="E21" i="4" s="1"/>
  <c r="F21" i="4" s="1"/>
  <c r="G21" i="4" s="1"/>
  <c r="D15" i="4"/>
  <c r="E15" i="4" s="1"/>
  <c r="F15" i="4" s="1"/>
  <c r="G15" i="4" s="1"/>
  <c r="G11" i="4"/>
  <c r="F11" i="4"/>
  <c r="E11" i="4"/>
  <c r="D11" i="4"/>
  <c r="C11" i="4"/>
  <c r="G9" i="4"/>
  <c r="F9" i="4"/>
  <c r="E9" i="4"/>
  <c r="D9" i="4"/>
  <c r="C9" i="4"/>
  <c r="G8" i="4"/>
  <c r="F8" i="4"/>
  <c r="E8" i="4"/>
  <c r="D8" i="4"/>
  <c r="C8" i="4"/>
  <c r="C7" i="4"/>
  <c r="D6" i="4"/>
  <c r="E6" i="4" s="1"/>
  <c r="F6" i="4" s="1"/>
  <c r="G6" i="4" s="1"/>
  <c r="F24" i="3"/>
  <c r="E24" i="3"/>
  <c r="C24" i="3"/>
  <c r="D22" i="3"/>
  <c r="E22" i="3" s="1"/>
  <c r="F22" i="3" s="1"/>
  <c r="G22" i="3" s="1"/>
  <c r="D16" i="3"/>
  <c r="E16" i="3" s="1"/>
  <c r="F16" i="3" s="1"/>
  <c r="G16" i="3" s="1"/>
  <c r="G12" i="3"/>
  <c r="F12" i="3"/>
  <c r="E12" i="3"/>
  <c r="D12" i="3"/>
  <c r="C12" i="3"/>
  <c r="G9" i="3"/>
  <c r="F9" i="3"/>
  <c r="E9" i="3"/>
  <c r="D9" i="3"/>
  <c r="C9" i="3"/>
  <c r="G7" i="3"/>
  <c r="F7" i="3"/>
  <c r="E7" i="3"/>
  <c r="D7" i="3"/>
  <c r="D5" i="3"/>
  <c r="E5" i="3" s="1"/>
  <c r="F5" i="3" s="1"/>
  <c r="G5" i="3" s="1"/>
  <c r="C21" i="5" l="1"/>
  <c r="C18" i="4"/>
  <c r="C17" i="4"/>
  <c r="C16" i="4"/>
  <c r="C10" i="4"/>
  <c r="C12" i="4" s="1"/>
  <c r="D7" i="4"/>
  <c r="C22" i="4" l="1"/>
  <c r="C6" i="6" s="1"/>
  <c r="E7" i="4"/>
  <c r="D10" i="4"/>
  <c r="D12" i="4" s="1"/>
  <c r="D16" i="4"/>
  <c r="D17" i="4"/>
  <c r="D18" i="4"/>
  <c r="C23" i="5"/>
  <c r="C22" i="5"/>
  <c r="C26" i="5" s="1"/>
  <c r="D22" i="4" l="1"/>
  <c r="F7" i="4"/>
  <c r="E10" i="4"/>
  <c r="E12" i="4" s="1"/>
  <c r="E16" i="4"/>
  <c r="E17" i="4"/>
  <c r="E18" i="4"/>
  <c r="C7" i="6"/>
  <c r="D6" i="6"/>
  <c r="F10" i="4" l="1"/>
  <c r="F12" i="4" s="1"/>
  <c r="F16" i="4"/>
  <c r="F17" i="4"/>
  <c r="G7" i="4"/>
  <c r="F18" i="4"/>
  <c r="C8" i="6"/>
  <c r="D7" i="6"/>
  <c r="E22" i="4"/>
  <c r="G17" i="4" l="1"/>
  <c r="G18" i="4"/>
  <c r="G10" i="4"/>
  <c r="G12" i="4" s="1"/>
  <c r="G16" i="4"/>
  <c r="D8" i="6"/>
  <c r="E7" i="6"/>
  <c r="F7" i="6" s="1"/>
  <c r="G7" i="6" s="1"/>
  <c r="E6" i="6"/>
  <c r="F22" i="4"/>
  <c r="E13" i="7" l="1"/>
  <c r="G22" i="4"/>
  <c r="D11" i="7" s="1"/>
  <c r="G11" i="7"/>
  <c r="E8" i="6"/>
  <c r="F6" i="6"/>
  <c r="F8" i="6" s="1"/>
  <c r="E11" i="7" l="1"/>
  <c r="F10" i="7"/>
  <c r="G9" i="7"/>
  <c r="C9" i="7"/>
  <c r="D12" i="7"/>
  <c r="F11" i="7"/>
  <c r="E9" i="7"/>
  <c r="C12" i="7"/>
  <c r="E12" i="7"/>
  <c r="G12" i="7"/>
  <c r="D13" i="7"/>
  <c r="F12" i="7"/>
  <c r="D10" i="7"/>
  <c r="D9" i="7"/>
  <c r="C13" i="7"/>
  <c r="C10" i="7"/>
  <c r="F13" i="7"/>
  <c r="G10" i="7"/>
  <c r="C11" i="7"/>
  <c r="F9" i="7"/>
  <c r="G6" i="6"/>
  <c r="G8" i="6" s="1"/>
  <c r="G13" i="7"/>
  <c r="E10" i="7"/>
  <c r="C13" i="6"/>
  <c r="C14" i="6" s="1"/>
  <c r="C18" i="6" l="1"/>
  <c r="C20" i="6" s="1"/>
  <c r="C22" i="6" s="1"/>
  <c r="B8" i="7" s="1"/>
</calcChain>
</file>

<file path=xl/sharedStrings.xml><?xml version="1.0" encoding="utf-8"?>
<sst xmlns="http://schemas.openxmlformats.org/spreadsheetml/2006/main" count="121" uniqueCount="85">
  <si>
    <t>Discounted Cash Flow Valuation</t>
  </si>
  <si>
    <t>The Coca-Cola Company</t>
  </si>
  <si>
    <t>5-Year Forecast Model</t>
  </si>
  <si>
    <t>Simon Norrman</t>
  </si>
  <si>
    <t>This model estimates the intrinsic value of The Coca-Cola Company using a 5-year DCF approach based on publicly available financial data</t>
  </si>
  <si>
    <t>*This model was built for educational purposes only and does not constitute investment advice</t>
  </si>
  <si>
    <t>Coca Cola DCF - Assumptions</t>
  </si>
  <si>
    <t>x</t>
  </si>
  <si>
    <t>Ticker</t>
  </si>
  <si>
    <t>KO</t>
  </si>
  <si>
    <t>Date</t>
  </si>
  <si>
    <t>Key Model Assumptions</t>
  </si>
  <si>
    <t>Operating Assumptions</t>
  </si>
  <si>
    <t>Revenue Growth (Years 1-5)</t>
  </si>
  <si>
    <t>EBIT Margin</t>
  </si>
  <si>
    <t xml:space="preserve"> </t>
  </si>
  <si>
    <t>Tax Rate</t>
  </si>
  <si>
    <t>Depreciation (% of Revenue)</t>
  </si>
  <si>
    <t>CapEx (% of Revenue)</t>
  </si>
  <si>
    <t>Change in NWC (% of Revenue)</t>
  </si>
  <si>
    <t>WACC Assumptions</t>
  </si>
  <si>
    <t>Risk-Free Rate</t>
  </si>
  <si>
    <t>Equity Risk Premium</t>
  </si>
  <si>
    <t>Beta</t>
  </si>
  <si>
    <t>Cost of Debt</t>
  </si>
  <si>
    <t>Target Debt %</t>
  </si>
  <si>
    <t>Target Equity %</t>
  </si>
  <si>
    <t>Terminal Assumptions</t>
  </si>
  <si>
    <t>Terminal Growth Rate</t>
  </si>
  <si>
    <t>Historical Financials</t>
  </si>
  <si>
    <t>(Figures in USD millions)</t>
  </si>
  <si>
    <t>Income Statement</t>
  </si>
  <si>
    <t>Revenue</t>
  </si>
  <si>
    <t>% Growth</t>
  </si>
  <si>
    <t>xx</t>
  </si>
  <si>
    <t>EBIT (Operating Income)</t>
  </si>
  <si>
    <t>Income Before Income Taxes</t>
  </si>
  <si>
    <t>Income Tax Expense</t>
  </si>
  <si>
    <t>Effective Tax Rate</t>
  </si>
  <si>
    <t>Net Income</t>
  </si>
  <si>
    <t>Cash Flow Items</t>
  </si>
  <si>
    <t>Depreciation &amp; Amorisation</t>
  </si>
  <si>
    <t>CapEx</t>
  </si>
  <si>
    <t>Change in Net Working Capital</t>
  </si>
  <si>
    <t>Free Cash Flow (Historical)</t>
  </si>
  <si>
    <t>NOPAT</t>
  </si>
  <si>
    <t>Forecast Financials (2026-2030)</t>
  </si>
  <si>
    <t>Operating Forecast</t>
  </si>
  <si>
    <t>EBIT</t>
  </si>
  <si>
    <t>Reinvestment</t>
  </si>
  <si>
    <t>Depreciation &amp; Amortisation</t>
  </si>
  <si>
    <t>Output</t>
  </si>
  <si>
    <t xml:space="preserve">WACC </t>
  </si>
  <si>
    <t>Cost of Equity (CAPM)</t>
  </si>
  <si>
    <t>Cost of Equity</t>
  </si>
  <si>
    <t>Pre-tax Cost of Debt</t>
  </si>
  <si>
    <t>After-tax Cost of Debt</t>
  </si>
  <si>
    <t>Capital Structure</t>
  </si>
  <si>
    <t>Market Value of Equity</t>
  </si>
  <si>
    <t>Market Value of Debt</t>
  </si>
  <si>
    <t>Total Capital</t>
  </si>
  <si>
    <t>Weight of Equity</t>
  </si>
  <si>
    <t>Weight of Debt</t>
  </si>
  <si>
    <t>Final WACC</t>
  </si>
  <si>
    <t>Coca Cola - DCF</t>
  </si>
  <si>
    <t>PV of Projected Cash Flows</t>
  </si>
  <si>
    <t>Discount Factor</t>
  </si>
  <si>
    <t>Present Value of FCF</t>
  </si>
  <si>
    <t>Terminal Value Section</t>
  </si>
  <si>
    <t>Terminal Value</t>
  </si>
  <si>
    <t>Present Value of Terminal Value</t>
  </si>
  <si>
    <t>Valuation Summary</t>
  </si>
  <si>
    <t>Enterprise Value</t>
  </si>
  <si>
    <t>Less: Net Debt</t>
  </si>
  <si>
    <t>Equity Value</t>
  </si>
  <si>
    <t xml:space="preserve">Shares Outstanding </t>
  </si>
  <si>
    <t>Implied Share Price</t>
  </si>
  <si>
    <t>*Data from the Coca Cola 10K</t>
  </si>
  <si>
    <t>Implied Share Price Sensitivity (WACC vs Terminal Growth)</t>
  </si>
  <si>
    <t>Inputs</t>
  </si>
  <si>
    <t>WACC</t>
  </si>
  <si>
    <t>Terminal Growth</t>
  </si>
  <si>
    <t>22 February 2026</t>
  </si>
  <si>
    <t>Unlevered Free Cash Flow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</si>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</sst>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0.0%"/>
    <numFmt numFmtId="167" formatCode="0.000"/>
    <numFmt numFmtId="168" formatCode="#.0_);\(#.0\)"/>
    <numFmt numFmtId="169" formatCode="_-[$$-409]* #,##0.00_ ;_-[$$-409]* \-#,##0.00\ ;_-[$$-409]* \-??_ ;_-@_ "/>
    <numFmt numFmtId="170" formatCode="_(\$* #,##0.00_);_(\$* \(#,##0.00\);_(\$* \-??_);_(@_)"/>
  </numFmts>
  <fonts count="25" x14ac:knownFonts="1">
    <font>
      <sz val="12"/>
      <color theme="1"/>
      <name val="Aptos Narrow"/>
      <family val="2"/>
      <charset val="238"/>
    </font>
    <font>
      <b/>
      <sz val="20"/>
      <color theme="1"/>
      <name val="Calibri"/>
      <family val="2"/>
      <charset val="238"/>
    </font>
    <font>
      <sz val="8"/>
      <color theme="1"/>
      <name val="Aptos Narrow"/>
      <family val="2"/>
      <charset val="238"/>
    </font>
    <font>
      <b/>
      <sz val="16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12"/>
      <color theme="0"/>
      <name val="Aptos Narrow"/>
      <family val="2"/>
      <charset val="238"/>
    </font>
    <font>
      <sz val="12"/>
      <color theme="0"/>
      <name val="Aptos Narrow"/>
      <family val="2"/>
      <charset val="1"/>
    </font>
    <font>
      <sz val="10"/>
      <color theme="1"/>
      <name val="Aptos Narrow"/>
      <family val="2"/>
      <charset val="238"/>
    </font>
    <font>
      <b/>
      <sz val="12"/>
      <color theme="0"/>
      <name val="Aptos Narrow"/>
      <family val="2"/>
      <charset val="238"/>
    </font>
    <font>
      <b/>
      <sz val="12"/>
      <color theme="0"/>
      <name val="Calibri"/>
      <family val="2"/>
      <charset val="238"/>
    </font>
    <font>
      <i/>
      <sz val="12"/>
      <color theme="1"/>
      <name val="Aptos Narrow"/>
      <family val="2"/>
      <charset val="1"/>
    </font>
    <font>
      <i/>
      <sz val="9"/>
      <color rgb="FFFF0000"/>
      <name val="Cambria"/>
      <charset val="1"/>
    </font>
    <font>
      <b/>
      <sz val="12"/>
      <color theme="1"/>
      <name val="Aptos Narrow"/>
      <family val="2"/>
      <charset val="1"/>
    </font>
    <font>
      <b/>
      <sz val="12"/>
      <color theme="7" tint="-0.249977111117893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2"/>
      <name val="Aptos Narrow"/>
      <family val="2"/>
      <charset val="1"/>
    </font>
    <font>
      <b/>
      <i/>
      <sz val="12"/>
      <color theme="1"/>
      <name val="Aptos Narrow"/>
      <family val="2"/>
      <charset val="1"/>
    </font>
    <font>
      <sz val="12"/>
      <color theme="1"/>
      <name val="Aptos Narrow"/>
      <family val="2"/>
      <charset val="238"/>
    </font>
    <font>
      <b/>
      <sz val="12"/>
      <color theme="1"/>
      <name val="Aptos Narrow"/>
    </font>
    <font>
      <sz val="12"/>
      <color theme="1"/>
      <name val="Aptos Narrow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3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theme="3" tint="0.74977874080629903"/>
        <bgColor rgb="FFD1D1D1"/>
      </patternFill>
    </fill>
    <fill>
      <patternFill patternType="solid">
        <fgColor theme="6" tint="0.79979857783745845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0" fontId="18" fillId="0" borderId="0"/>
    <xf numFmtId="9" fontId="18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3" fillId="0" borderId="2" xfId="0" applyFont="1" applyBorder="1"/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/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4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11" xfId="0" applyNumberFormat="1" applyBorder="1"/>
    <xf numFmtId="0" fontId="0" fillId="0" borderId="12" xfId="0" applyBorder="1"/>
    <xf numFmtId="0" fontId="0" fillId="0" borderId="13" xfId="0" applyBorder="1"/>
    <xf numFmtId="9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9" fontId="0" fillId="0" borderId="18" xfId="0" applyNumberFormat="1" applyBorder="1"/>
    <xf numFmtId="165" fontId="0" fillId="0" borderId="11" xfId="0" applyNumberForma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165" fontId="0" fillId="0" borderId="14" xfId="0" applyNumberFormat="1" applyBorder="1"/>
    <xf numFmtId="165" fontId="0" fillId="0" borderId="18" xfId="0" applyNumberFormat="1" applyBorder="1"/>
    <xf numFmtId="0" fontId="0" fillId="0" borderId="19" xfId="0" applyBorder="1"/>
    <xf numFmtId="0" fontId="3" fillId="0" borderId="19" xfId="0" applyFont="1" applyBorder="1"/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3" fontId="0" fillId="0" borderId="0" xfId="0" applyNumberFormat="1"/>
    <xf numFmtId="0" fontId="10" fillId="0" borderId="0" xfId="0" applyFont="1"/>
    <xf numFmtId="165" fontId="0" fillId="0" borderId="0" xfId="0" applyNumberFormat="1" applyAlignment="1">
      <alignment horizontal="right"/>
    </xf>
    <xf numFmtId="165" fontId="10" fillId="0" borderId="0" xfId="2" applyNumberFormat="1" applyFont="1"/>
    <xf numFmtId="1" fontId="4" fillId="3" borderId="0" xfId="0" applyNumberFormat="1" applyFont="1" applyFill="1"/>
    <xf numFmtId="167" fontId="0" fillId="0" borderId="0" xfId="0" applyNumberFormat="1"/>
    <xf numFmtId="168" fontId="0" fillId="0" borderId="0" xfId="0" applyNumberFormat="1"/>
    <xf numFmtId="0" fontId="11" fillId="0" borderId="0" xfId="0" applyFont="1"/>
    <xf numFmtId="0" fontId="0" fillId="0" borderId="20" xfId="0" applyBorder="1"/>
    <xf numFmtId="0" fontId="3" fillId="0" borderId="20" xfId="0" applyFont="1" applyBorder="1"/>
    <xf numFmtId="0" fontId="4" fillId="3" borderId="0" xfId="0" applyFont="1" applyFill="1" applyAlignment="1">
      <alignment horizontal="left"/>
    </xf>
    <xf numFmtId="165" fontId="10" fillId="0" borderId="0" xfId="0" applyNumberFormat="1" applyFont="1"/>
    <xf numFmtId="0" fontId="4" fillId="4" borderId="0" xfId="0" applyFont="1" applyFill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1" xfId="0" applyBorder="1"/>
    <xf numFmtId="0" fontId="12" fillId="5" borderId="21" xfId="0" applyFont="1" applyFill="1" applyBorder="1"/>
    <xf numFmtId="165" fontId="18" fillId="0" borderId="0" xfId="2" applyNumberFormat="1"/>
    <xf numFmtId="0" fontId="13" fillId="4" borderId="0" xfId="0" applyFont="1" applyFill="1"/>
    <xf numFmtId="0" fontId="12" fillId="0" borderId="0" xfId="0" applyFont="1"/>
    <xf numFmtId="3" fontId="12" fillId="0" borderId="0" xfId="0" applyNumberFormat="1" applyFont="1"/>
    <xf numFmtId="0" fontId="12" fillId="0" borderId="23" xfId="0" applyFont="1" applyBorder="1"/>
    <xf numFmtId="169" fontId="12" fillId="0" borderId="23" xfId="0" applyNumberFormat="1" applyFont="1" applyBorder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 indent="7"/>
    </xf>
    <xf numFmtId="0" fontId="10" fillId="0" borderId="0" xfId="0" applyFont="1" applyAlignment="1">
      <alignment horizontal="left" indent="1"/>
    </xf>
    <xf numFmtId="169" fontId="16" fillId="6" borderId="13" xfId="1" applyNumberFormat="1" applyFont="1" applyFill="1" applyBorder="1"/>
    <xf numFmtId="0" fontId="17" fillId="0" borderId="8" xfId="0" applyFont="1" applyBorder="1"/>
    <xf numFmtId="0" fontId="0" fillId="0" borderId="24" xfId="0" applyBorder="1"/>
    <xf numFmtId="0" fontId="14" fillId="0" borderId="0" xfId="0" applyFont="1" applyAlignment="1">
      <alignment horizontal="left" textRotation="90"/>
    </xf>
    <xf numFmtId="10" fontId="12" fillId="5" borderId="22" xfId="0" applyNumberFormat="1" applyFont="1" applyFill="1" applyBorder="1"/>
    <xf numFmtId="10" fontId="19" fillId="7" borderId="25" xfId="0" applyNumberFormat="1" applyFont="1" applyFill="1" applyBorder="1" applyAlignment="1">
      <alignment horizontal="center"/>
    </xf>
    <xf numFmtId="10" fontId="19" fillId="7" borderId="27" xfId="0" applyNumberFormat="1" applyFont="1" applyFill="1" applyBorder="1" applyAlignment="1">
      <alignment horizontal="center"/>
    </xf>
    <xf numFmtId="10" fontId="19" fillId="8" borderId="27" xfId="2" applyNumberFormat="1" applyFont="1" applyFill="1" applyBorder="1" applyAlignment="1">
      <alignment horizontal="center"/>
    </xf>
    <xf numFmtId="10" fontId="19" fillId="7" borderId="28" xfId="0" applyNumberFormat="1" applyFont="1" applyFill="1" applyBorder="1" applyAlignment="1">
      <alignment horizontal="center"/>
    </xf>
    <xf numFmtId="10" fontId="19" fillId="7" borderId="21" xfId="0" applyNumberFormat="1" applyFont="1" applyFill="1" applyBorder="1" applyAlignment="1">
      <alignment horizontal="center"/>
    </xf>
    <xf numFmtId="10" fontId="19" fillId="8" borderId="21" xfId="0" applyNumberFormat="1" applyFont="1" applyFill="1" applyBorder="1" applyAlignment="1">
      <alignment horizontal="center"/>
    </xf>
    <xf numFmtId="10" fontId="19" fillId="7" borderId="22" xfId="0" applyNumberFormat="1" applyFont="1" applyFill="1" applyBorder="1" applyAlignment="1">
      <alignment horizontal="center"/>
    </xf>
    <xf numFmtId="10" fontId="20" fillId="7" borderId="26" xfId="0" applyNumberFormat="1" applyFont="1" applyFill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0" fontId="18" fillId="0" borderId="18" xfId="2" applyNumberFormat="1" applyBorder="1"/>
    <xf numFmtId="10" fontId="0" fillId="0" borderId="18" xfId="0" applyNumberFormat="1" applyBorder="1" applyAlignment="1">
      <alignment horizontal="right"/>
    </xf>
    <xf numFmtId="2" fontId="20" fillId="7" borderId="29" xfId="0" applyNumberFormat="1" applyFont="1" applyFill="1" applyBorder="1" applyAlignment="1">
      <alignment horizontal="center"/>
    </xf>
    <xf numFmtId="2" fontId="20" fillId="7" borderId="30" xfId="0" applyNumberFormat="1" applyFont="1" applyFill="1" applyBorder="1" applyAlignment="1">
      <alignment horizontal="center"/>
    </xf>
    <xf numFmtId="2" fontId="20" fillId="8" borderId="30" xfId="0" applyNumberFormat="1" applyFont="1" applyFill="1" applyBorder="1" applyAlignment="1">
      <alignment horizontal="center"/>
    </xf>
    <xf numFmtId="2" fontId="20" fillId="7" borderId="31" xfId="0" applyNumberFormat="1" applyFont="1" applyFill="1" applyBorder="1" applyAlignment="1">
      <alignment horizontal="center"/>
    </xf>
    <xf numFmtId="2" fontId="20" fillId="7" borderId="32" xfId="0" applyNumberFormat="1" applyFont="1" applyFill="1" applyBorder="1" applyAlignment="1">
      <alignment horizontal="center"/>
    </xf>
    <xf numFmtId="2" fontId="20" fillId="7" borderId="0" xfId="0" applyNumberFormat="1" applyFont="1" applyFill="1" applyBorder="1" applyAlignment="1">
      <alignment horizontal="center"/>
    </xf>
    <xf numFmtId="2" fontId="20" fillId="8" borderId="0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2" fontId="20" fillId="8" borderId="32" xfId="0" applyNumberFormat="1" applyFont="1" applyFill="1" applyBorder="1" applyAlignment="1">
      <alignment horizontal="center"/>
    </xf>
    <xf numFmtId="2" fontId="20" fillId="9" borderId="0" xfId="0" applyNumberFormat="1" applyFont="1" applyFill="1" applyBorder="1" applyAlignment="1">
      <alignment horizontal="center"/>
    </xf>
    <xf numFmtId="2" fontId="20" fillId="8" borderId="33" xfId="0" applyNumberFormat="1" applyFont="1" applyFill="1" applyBorder="1" applyAlignment="1">
      <alignment horizontal="center"/>
    </xf>
    <xf numFmtId="2" fontId="20" fillId="7" borderId="34" xfId="0" applyNumberFormat="1" applyFont="1" applyFill="1" applyBorder="1" applyAlignment="1">
      <alignment horizontal="center"/>
    </xf>
    <xf numFmtId="2" fontId="20" fillId="7" borderId="1" xfId="0" applyNumberFormat="1" applyFont="1" applyFill="1" applyBorder="1" applyAlignment="1">
      <alignment horizontal="center"/>
    </xf>
    <xf numFmtId="2" fontId="20" fillId="8" borderId="1" xfId="0" applyNumberFormat="1" applyFont="1" applyFill="1" applyBorder="1" applyAlignment="1">
      <alignment horizontal="center"/>
    </xf>
    <xf numFmtId="2" fontId="20" fillId="7" borderId="35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2F1C8"/>
      <rgbColor rgb="FFFFFF99"/>
      <rgbColor rgb="FFA6CAEC"/>
      <rgbColor rgb="FFFF99CC"/>
      <rgbColor rgb="FFCC99FF"/>
      <rgbColor rgb="FFFFE2C5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E23612-4589-409B-B79D-57462FAC479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e28ab8-1755-4b13-8920-890c0c39ef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S34"/>
  <sheetViews>
    <sheetView showGridLines="0" zoomScaleNormal="100" workbookViewId="0">
      <selection activeCell="M22" sqref="M22"/>
    </sheetView>
  </sheetViews>
  <sheetFormatPr defaultColWidth="8.5" defaultRowHeight="15.75" x14ac:dyDescent="0.25"/>
  <sheetData>
    <row r="10" spans="13:19" ht="26.25" customHeight="1" x14ac:dyDescent="0.4">
      <c r="M10" s="1" t="s">
        <v>0</v>
      </c>
      <c r="N10" s="2"/>
      <c r="O10" s="2"/>
      <c r="P10" s="2"/>
      <c r="Q10" s="2"/>
      <c r="R10" s="2"/>
      <c r="S10" s="2"/>
    </row>
    <row r="11" spans="13:19" ht="23.25" customHeight="1" x14ac:dyDescent="0.4">
      <c r="M11" s="82" t="s">
        <v>1</v>
      </c>
      <c r="N11" s="2"/>
      <c r="O11" s="2"/>
      <c r="P11" s="2"/>
      <c r="Q11" s="2"/>
      <c r="R11" s="2"/>
      <c r="S11" s="2"/>
    </row>
    <row r="12" spans="13:19" ht="18.75" customHeight="1" x14ac:dyDescent="0.3">
      <c r="M12" s="79" t="s">
        <v>2</v>
      </c>
      <c r="N12" s="2"/>
      <c r="O12" s="2"/>
      <c r="P12" s="2"/>
      <c r="Q12" s="2"/>
      <c r="R12" s="2"/>
      <c r="S12" s="2"/>
    </row>
    <row r="13" spans="13:19" x14ac:dyDescent="0.25">
      <c r="M13" s="3"/>
      <c r="N13" s="2"/>
      <c r="O13" s="2"/>
      <c r="P13" s="2"/>
      <c r="Q13" s="2"/>
      <c r="R13" s="2"/>
      <c r="S13" s="2"/>
    </row>
    <row r="14" spans="13:19" x14ac:dyDescent="0.25">
      <c r="M14" s="2"/>
      <c r="N14" s="2"/>
      <c r="O14" s="2"/>
      <c r="P14" s="2"/>
      <c r="Q14" s="2"/>
      <c r="R14" s="2"/>
      <c r="S14" s="2"/>
    </row>
    <row r="15" spans="13:19" x14ac:dyDescent="0.25">
      <c r="M15" s="80" t="s">
        <v>3</v>
      </c>
      <c r="N15" s="2"/>
      <c r="O15" s="2"/>
      <c r="P15" s="2"/>
      <c r="Q15" s="2"/>
      <c r="R15" s="2"/>
      <c r="S15" s="2"/>
    </row>
    <row r="16" spans="13:19" x14ac:dyDescent="0.25">
      <c r="M16" s="80" t="s">
        <v>82</v>
      </c>
      <c r="N16" s="2"/>
      <c r="O16" s="2"/>
      <c r="P16" s="2"/>
      <c r="Q16" s="2"/>
      <c r="R16" s="2"/>
      <c r="S16" s="2"/>
    </row>
    <row r="17" spans="13:19" x14ac:dyDescent="0.25">
      <c r="M17" s="3"/>
      <c r="N17" s="2"/>
      <c r="O17" s="2"/>
      <c r="P17" s="2"/>
      <c r="Q17" s="2"/>
      <c r="R17" s="2"/>
      <c r="S17" s="2"/>
    </row>
    <row r="18" spans="13:19" x14ac:dyDescent="0.25">
      <c r="M18" s="2"/>
      <c r="N18" s="2"/>
      <c r="O18" s="2"/>
      <c r="P18" s="2"/>
      <c r="Q18" s="2"/>
      <c r="R18" s="2"/>
      <c r="S18" s="2"/>
    </row>
    <row r="19" spans="13:19" x14ac:dyDescent="0.25">
      <c r="M19" s="81" t="s">
        <v>4</v>
      </c>
      <c r="N19" s="2"/>
      <c r="O19" s="2"/>
      <c r="P19" s="2"/>
      <c r="Q19" s="2"/>
      <c r="R19" s="2"/>
      <c r="S19" s="2"/>
    </row>
    <row r="34" spans="1:1" x14ac:dyDescent="0.25">
      <c r="A34" s="4" t="s"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6"/>
  <sheetViews>
    <sheetView showGridLines="0" zoomScaleNormal="100" workbookViewId="0">
      <selection activeCell="I33" sqref="I33"/>
    </sheetView>
  </sheetViews>
  <sheetFormatPr defaultColWidth="8.5" defaultRowHeight="15.75" x14ac:dyDescent="0.25"/>
  <cols>
    <col min="1" max="1" width="4.375" customWidth="1"/>
    <col min="2" max="2" width="10.125" customWidth="1"/>
    <col min="3" max="3" width="8.875" customWidth="1"/>
  </cols>
  <sheetData>
    <row r="2" spans="1:11" s="5" customFormat="1" ht="21" customHeight="1" x14ac:dyDescent="0.35">
      <c r="B2" s="6" t="s">
        <v>6</v>
      </c>
    </row>
    <row r="4" spans="1:11" x14ac:dyDescent="0.25">
      <c r="A4" t="s">
        <v>7</v>
      </c>
      <c r="B4" t="s">
        <v>8</v>
      </c>
      <c r="C4" s="7" t="s">
        <v>9</v>
      </c>
    </row>
    <row r="5" spans="1:11" x14ac:dyDescent="0.25">
      <c r="B5" t="s">
        <v>10</v>
      </c>
      <c r="C5" s="8">
        <v>46076</v>
      </c>
    </row>
    <row r="7" spans="1:11" x14ac:dyDescent="0.25">
      <c r="A7" t="s">
        <v>7</v>
      </c>
      <c r="B7" s="9" t="s">
        <v>11</v>
      </c>
      <c r="C7" s="10"/>
      <c r="D7" s="11"/>
      <c r="E7" s="11"/>
      <c r="F7" s="11"/>
      <c r="G7" s="11"/>
      <c r="H7" s="11"/>
      <c r="I7" s="12"/>
      <c r="J7" s="12"/>
      <c r="K7" s="12"/>
    </row>
    <row r="8" spans="1:11" ht="16.5" customHeight="1" x14ac:dyDescent="0.25"/>
    <row r="9" spans="1:11" ht="16.5" customHeight="1" x14ac:dyDescent="0.25">
      <c r="A9" t="s">
        <v>7</v>
      </c>
      <c r="B9" s="13" t="s">
        <v>12</v>
      </c>
      <c r="C9" s="14"/>
      <c r="D9" s="15"/>
      <c r="E9" s="16"/>
    </row>
    <row r="10" spans="1:11" x14ac:dyDescent="0.25">
      <c r="B10" s="17" t="s">
        <v>13</v>
      </c>
      <c r="C10" s="18"/>
      <c r="D10" s="19"/>
      <c r="E10" s="20">
        <v>5.5E-2</v>
      </c>
    </row>
    <row r="11" spans="1:11" x14ac:dyDescent="0.25">
      <c r="B11" s="21" t="s">
        <v>14</v>
      </c>
      <c r="C11" t="s">
        <v>15</v>
      </c>
      <c r="D11" s="22"/>
      <c r="E11" s="23">
        <v>0.29499999999999998</v>
      </c>
    </row>
    <row r="12" spans="1:11" x14ac:dyDescent="0.25">
      <c r="B12" s="21" t="s">
        <v>16</v>
      </c>
      <c r="D12" s="22"/>
      <c r="E12" s="23">
        <v>0.23</v>
      </c>
    </row>
    <row r="13" spans="1:11" x14ac:dyDescent="0.25">
      <c r="B13" s="21" t="s">
        <v>17</v>
      </c>
      <c r="D13" s="22"/>
      <c r="E13" s="23">
        <v>2.5000000000000001E-2</v>
      </c>
    </row>
    <row r="14" spans="1:11" x14ac:dyDescent="0.25">
      <c r="B14" s="21" t="s">
        <v>18</v>
      </c>
      <c r="D14" s="22"/>
      <c r="E14" s="23">
        <v>0.04</v>
      </c>
    </row>
    <row r="15" spans="1:11" ht="16.5" customHeight="1" x14ac:dyDescent="0.25">
      <c r="B15" s="24" t="s">
        <v>19</v>
      </c>
      <c r="C15" s="25"/>
      <c r="D15" s="26"/>
      <c r="E15" s="27">
        <v>0.01</v>
      </c>
    </row>
    <row r="16" spans="1:11" ht="16.5" customHeight="1" x14ac:dyDescent="0.25"/>
    <row r="17" spans="1:5" ht="16.5" customHeight="1" x14ac:dyDescent="0.25">
      <c r="A17" t="s">
        <v>7</v>
      </c>
      <c r="B17" s="13" t="s">
        <v>20</v>
      </c>
      <c r="C17" s="14"/>
      <c r="D17" s="15"/>
      <c r="E17" s="16"/>
    </row>
    <row r="18" spans="1:5" x14ac:dyDescent="0.25">
      <c r="B18" s="17" t="s">
        <v>21</v>
      </c>
      <c r="C18" s="18"/>
      <c r="D18" s="19"/>
      <c r="E18" s="28">
        <v>0.04</v>
      </c>
    </row>
    <row r="19" spans="1:5" x14ac:dyDescent="0.25">
      <c r="B19" s="21" t="s">
        <v>22</v>
      </c>
      <c r="D19" s="22"/>
      <c r="E19" s="29">
        <v>5.5E-2</v>
      </c>
    </row>
    <row r="20" spans="1:5" x14ac:dyDescent="0.25">
      <c r="B20" s="21" t="s">
        <v>23</v>
      </c>
      <c r="D20" s="22"/>
      <c r="E20" s="30">
        <v>0.6</v>
      </c>
    </row>
    <row r="21" spans="1:5" x14ac:dyDescent="0.25">
      <c r="B21" s="21" t="s">
        <v>24</v>
      </c>
      <c r="D21" s="22"/>
      <c r="E21" s="29">
        <v>4.4999999999999998E-2</v>
      </c>
    </row>
    <row r="22" spans="1:5" x14ac:dyDescent="0.25">
      <c r="B22" s="21" t="s">
        <v>25</v>
      </c>
      <c r="D22" s="22"/>
      <c r="E22" s="31">
        <v>0.3</v>
      </c>
    </row>
    <row r="23" spans="1:5" ht="16.5" customHeight="1" x14ac:dyDescent="0.25">
      <c r="B23" s="24" t="s">
        <v>26</v>
      </c>
      <c r="C23" s="25"/>
      <c r="D23" s="26"/>
      <c r="E23" s="32">
        <v>0.7</v>
      </c>
    </row>
    <row r="24" spans="1:5" ht="16.5" customHeight="1" x14ac:dyDescent="0.25"/>
    <row r="25" spans="1:5" ht="16.5" customHeight="1" x14ac:dyDescent="0.25">
      <c r="A25" t="s">
        <v>7</v>
      </c>
      <c r="B25" s="13" t="s">
        <v>27</v>
      </c>
      <c r="C25" s="14"/>
      <c r="D25" s="15"/>
      <c r="E25" s="16"/>
    </row>
    <row r="26" spans="1:5" ht="16.5" customHeight="1" x14ac:dyDescent="0.25">
      <c r="B26" s="24" t="s">
        <v>28</v>
      </c>
      <c r="C26" s="25"/>
      <c r="D26" s="26"/>
      <c r="E26" s="84">
        <v>2.75E-2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5"/>
  <sheetViews>
    <sheetView showGridLines="0" zoomScaleNormal="100" workbookViewId="0">
      <selection activeCell="F30" sqref="F30"/>
    </sheetView>
  </sheetViews>
  <sheetFormatPr defaultColWidth="8.5" defaultRowHeight="15.75" x14ac:dyDescent="0.25"/>
  <cols>
    <col min="1" max="1" width="4.125" customWidth="1"/>
    <col min="2" max="2" width="25.875" customWidth="1"/>
    <col min="3" max="7" width="16.625" customWidth="1"/>
    <col min="8" max="9" width="4.875" customWidth="1"/>
    <col min="10" max="10" width="16.625" customWidth="1"/>
    <col min="11" max="11" width="26.5" customWidth="1"/>
    <col min="12" max="17" width="16.625" customWidth="1"/>
  </cols>
  <sheetData>
    <row r="2" spans="1:7" s="33" customFormat="1" ht="21" customHeight="1" x14ac:dyDescent="0.35">
      <c r="B2" s="34" t="s">
        <v>29</v>
      </c>
    </row>
    <row r="4" spans="1:7" x14ac:dyDescent="0.25">
      <c r="B4" s="35" t="s">
        <v>30</v>
      </c>
    </row>
    <row r="5" spans="1:7" x14ac:dyDescent="0.25">
      <c r="A5" t="s">
        <v>7</v>
      </c>
      <c r="B5" s="36" t="s">
        <v>31</v>
      </c>
      <c r="C5" s="37">
        <v>2021</v>
      </c>
      <c r="D5" s="37">
        <f>C5+1</f>
        <v>2022</v>
      </c>
      <c r="E5" s="37">
        <f>D5+1</f>
        <v>2023</v>
      </c>
      <c r="F5" s="37">
        <f>E5+1</f>
        <v>2024</v>
      </c>
      <c r="G5" s="37">
        <f>F5+1</f>
        <v>2025</v>
      </c>
    </row>
    <row r="6" spans="1:7" x14ac:dyDescent="0.25">
      <c r="B6" t="s">
        <v>32</v>
      </c>
      <c r="C6" s="38">
        <v>38655</v>
      </c>
      <c r="D6" s="38">
        <v>43004</v>
      </c>
      <c r="E6" s="38">
        <v>45754</v>
      </c>
      <c r="F6" s="38">
        <v>47061</v>
      </c>
      <c r="G6" s="38">
        <v>47941</v>
      </c>
    </row>
    <row r="7" spans="1:7" x14ac:dyDescent="0.25">
      <c r="B7" s="39" t="s">
        <v>33</v>
      </c>
      <c r="C7" s="40" t="s">
        <v>34</v>
      </c>
      <c r="D7" s="41">
        <f>(D6/C6)-1</f>
        <v>0.11250808433579107</v>
      </c>
      <c r="E7" s="41">
        <f>(E6/D6)-1</f>
        <v>6.3947539763743011E-2</v>
      </c>
      <c r="F7" s="41">
        <f>(F6/E6)-1</f>
        <v>2.8565808453905772E-2</v>
      </c>
      <c r="G7" s="41">
        <f>(G6/F6)-1</f>
        <v>1.8699135164998548E-2</v>
      </c>
    </row>
    <row r="8" spans="1:7" x14ac:dyDescent="0.25">
      <c r="B8" t="s">
        <v>35</v>
      </c>
      <c r="C8" s="38">
        <v>10308</v>
      </c>
      <c r="D8" s="38">
        <v>10909</v>
      </c>
      <c r="E8" s="38">
        <v>11311</v>
      </c>
      <c r="F8" s="38">
        <v>9992</v>
      </c>
      <c r="G8" s="38">
        <v>13762</v>
      </c>
    </row>
    <row r="9" spans="1:7" x14ac:dyDescent="0.25">
      <c r="B9" s="39" t="s">
        <v>14</v>
      </c>
      <c r="C9" s="41">
        <f>C8/C6</f>
        <v>0.26666666666666666</v>
      </c>
      <c r="D9" s="41">
        <f>D8/D6</f>
        <v>0.25367407683006232</v>
      </c>
      <c r="E9" s="41">
        <f>E8/E6</f>
        <v>0.24721335839489444</v>
      </c>
      <c r="F9" s="41">
        <f>F8/F6</f>
        <v>0.21232018019166612</v>
      </c>
      <c r="G9" s="41">
        <f>G8/G6</f>
        <v>0.28706117936630443</v>
      </c>
    </row>
    <row r="10" spans="1:7" x14ac:dyDescent="0.25">
      <c r="B10" t="s">
        <v>36</v>
      </c>
      <c r="C10" s="38">
        <v>12425</v>
      </c>
      <c r="D10" s="38">
        <v>11686</v>
      </c>
      <c r="E10" s="38">
        <v>12925</v>
      </c>
      <c r="F10" s="38">
        <v>13086</v>
      </c>
      <c r="G10" s="38">
        <v>15998</v>
      </c>
    </row>
    <row r="11" spans="1:7" x14ac:dyDescent="0.25">
      <c r="B11" t="s">
        <v>37</v>
      </c>
      <c r="C11" s="38">
        <v>2621</v>
      </c>
      <c r="D11" s="38">
        <v>2115</v>
      </c>
      <c r="E11" s="38">
        <v>2249</v>
      </c>
      <c r="F11" s="38">
        <v>2437</v>
      </c>
      <c r="G11" s="38">
        <v>2861</v>
      </c>
    </row>
    <row r="12" spans="1:7" x14ac:dyDescent="0.25">
      <c r="B12" s="39" t="s">
        <v>38</v>
      </c>
      <c r="C12" s="41">
        <f>C11/C10</f>
        <v>0.21094567404426559</v>
      </c>
      <c r="D12" s="41">
        <f>D11/D10</f>
        <v>0.18098579496833819</v>
      </c>
      <c r="E12" s="41">
        <f>E11/E10</f>
        <v>0.17400386847195357</v>
      </c>
      <c r="F12" s="41">
        <f>F11/F10</f>
        <v>0.18622955830658719</v>
      </c>
      <c r="G12" s="41">
        <f>G11/G10</f>
        <v>0.17883485435679461</v>
      </c>
    </row>
    <row r="13" spans="1:7" x14ac:dyDescent="0.25">
      <c r="B13" t="s">
        <v>39</v>
      </c>
      <c r="C13" s="38">
        <v>9771</v>
      </c>
      <c r="D13" s="38">
        <v>9542</v>
      </c>
      <c r="E13" s="38">
        <v>10714</v>
      </c>
      <c r="F13" s="38">
        <v>10631</v>
      </c>
      <c r="G13" s="38">
        <v>13107</v>
      </c>
    </row>
    <row r="16" spans="1:7" x14ac:dyDescent="0.25">
      <c r="A16" t="s">
        <v>7</v>
      </c>
      <c r="B16" s="9" t="s">
        <v>40</v>
      </c>
      <c r="C16" s="9">
        <v>2021</v>
      </c>
      <c r="D16" s="9">
        <f>C16+1</f>
        <v>2022</v>
      </c>
      <c r="E16" s="9">
        <f>D16+1</f>
        <v>2023</v>
      </c>
      <c r="F16" s="9">
        <f>E16+1</f>
        <v>2024</v>
      </c>
      <c r="G16" s="9">
        <f>F16+1</f>
        <v>2025</v>
      </c>
    </row>
    <row r="17" spans="1:7" x14ac:dyDescent="0.25">
      <c r="B17" t="s">
        <v>41</v>
      </c>
      <c r="C17" s="38">
        <v>1425</v>
      </c>
      <c r="D17" s="38">
        <v>1260</v>
      </c>
      <c r="E17" s="38">
        <v>1128</v>
      </c>
      <c r="F17" s="38">
        <v>1075</v>
      </c>
      <c r="G17" s="38">
        <v>1050</v>
      </c>
    </row>
    <row r="18" spans="1:7" x14ac:dyDescent="0.25">
      <c r="B18" t="s">
        <v>42</v>
      </c>
      <c r="C18" s="38">
        <v>1367</v>
      </c>
      <c r="D18" s="38">
        <v>1484</v>
      </c>
      <c r="E18" s="38">
        <v>1852</v>
      </c>
      <c r="F18" s="38">
        <v>2064</v>
      </c>
      <c r="G18" s="38">
        <v>2112</v>
      </c>
    </row>
    <row r="19" spans="1:7" x14ac:dyDescent="0.25">
      <c r="B19" t="s">
        <v>43</v>
      </c>
      <c r="C19" s="38">
        <v>-1325</v>
      </c>
      <c r="D19" s="38">
        <v>605</v>
      </c>
      <c r="E19" s="38">
        <v>846</v>
      </c>
      <c r="F19" s="38">
        <v>6234</v>
      </c>
      <c r="G19" s="38">
        <v>7208</v>
      </c>
    </row>
    <row r="22" spans="1:7" x14ac:dyDescent="0.25">
      <c r="A22" t="s">
        <v>7</v>
      </c>
      <c r="B22" s="9" t="s">
        <v>44</v>
      </c>
      <c r="C22" s="42">
        <v>2021</v>
      </c>
      <c r="D22" s="42">
        <f>C22+1</f>
        <v>2022</v>
      </c>
      <c r="E22" s="42">
        <f>D22+1</f>
        <v>2023</v>
      </c>
      <c r="F22" s="42">
        <f>E22+1</f>
        <v>2024</v>
      </c>
      <c r="G22" s="42">
        <f>F22+1</f>
        <v>2025</v>
      </c>
    </row>
    <row r="23" spans="1:7" x14ac:dyDescent="0.25">
      <c r="B23" t="s">
        <v>45</v>
      </c>
      <c r="C23" s="38">
        <v>8134</v>
      </c>
      <c r="D23" s="38">
        <v>8935</v>
      </c>
      <c r="E23" s="38">
        <v>9343</v>
      </c>
      <c r="F23" s="38">
        <v>8131</v>
      </c>
      <c r="G23" s="38">
        <v>11301</v>
      </c>
    </row>
    <row r="24" spans="1:7" x14ac:dyDescent="0.25">
      <c r="B24" t="s">
        <v>83</v>
      </c>
      <c r="C24" s="38">
        <f>C23+C17-C18-C19</f>
        <v>9517</v>
      </c>
      <c r="D24" s="38">
        <f>D23+D17-D18-D19</f>
        <v>8106</v>
      </c>
      <c r="E24" s="38">
        <f>E23+E17-E18-E19</f>
        <v>7773</v>
      </c>
      <c r="F24" s="38">
        <f>F23+F17-F18-F19</f>
        <v>908</v>
      </c>
      <c r="G24" s="38">
        <f>G23+G17-G18-G19</f>
        <v>3031</v>
      </c>
    </row>
    <row r="29" spans="1:7" x14ac:dyDescent="0.25">
      <c r="D29" s="43"/>
      <c r="F29" s="44"/>
    </row>
    <row r="33" spans="2:2" x14ac:dyDescent="0.25">
      <c r="B33" s="4"/>
    </row>
    <row r="34" spans="2:2" x14ac:dyDescent="0.25">
      <c r="B34" s="4"/>
    </row>
    <row r="35" spans="2:2" x14ac:dyDescent="0.25">
      <c r="B35" s="4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6"/>
  <sheetViews>
    <sheetView showGridLines="0" zoomScaleNormal="100" workbookViewId="0">
      <selection activeCell="C12" sqref="C12"/>
    </sheetView>
  </sheetViews>
  <sheetFormatPr defaultColWidth="8.5" defaultRowHeight="15.75" x14ac:dyDescent="0.25"/>
  <cols>
    <col min="1" max="1" width="4.25" customWidth="1"/>
    <col min="2" max="2" width="27" customWidth="1"/>
    <col min="3" max="7" width="16.625" customWidth="1"/>
  </cols>
  <sheetData>
    <row r="2" spans="1:7" s="46" customFormat="1" x14ac:dyDescent="0.25"/>
    <row r="3" spans="1:7" s="46" customFormat="1" ht="21" customHeight="1" x14ac:dyDescent="0.35">
      <c r="B3" s="47" t="s">
        <v>46</v>
      </c>
    </row>
    <row r="5" spans="1:7" x14ac:dyDescent="0.25">
      <c r="B5" s="35" t="s">
        <v>30</v>
      </c>
    </row>
    <row r="6" spans="1:7" x14ac:dyDescent="0.25">
      <c r="A6" t="s">
        <v>7</v>
      </c>
      <c r="B6" s="48" t="s">
        <v>47</v>
      </c>
      <c r="C6" s="9">
        <v>2026</v>
      </c>
      <c r="D6" s="9">
        <f>C6+1</f>
        <v>2027</v>
      </c>
      <c r="E6" s="9">
        <f>D6+1</f>
        <v>2028</v>
      </c>
      <c r="F6" s="9">
        <f>E6+1</f>
        <v>2029</v>
      </c>
      <c r="G6" s="9">
        <f>F6+1</f>
        <v>2030</v>
      </c>
    </row>
    <row r="7" spans="1:7" x14ac:dyDescent="0.25">
      <c r="B7" t="s">
        <v>32</v>
      </c>
      <c r="C7" s="38">
        <f>'Historical Financials'!G6*(1+Assumptions!$E$10)</f>
        <v>50577.754999999997</v>
      </c>
      <c r="D7" s="38">
        <f>C7*(1+Assumptions!$E$10)</f>
        <v>53359.531524999991</v>
      </c>
      <c r="E7" s="38">
        <f>D7*(1+Assumptions!$E$10)</f>
        <v>56294.305758874987</v>
      </c>
      <c r="F7" s="38">
        <f>E7*(1+Assumptions!$E$10)</f>
        <v>59390.492575613105</v>
      </c>
      <c r="G7" s="38">
        <f>F7*(1+Assumptions!$E$10)</f>
        <v>62656.96966727182</v>
      </c>
    </row>
    <row r="8" spans="1:7" x14ac:dyDescent="0.25">
      <c r="B8" s="39" t="s">
        <v>33</v>
      </c>
      <c r="C8" s="49">
        <f>Assumptions!$E$10</f>
        <v>5.5E-2</v>
      </c>
      <c r="D8" s="49">
        <f>Assumptions!$E$10</f>
        <v>5.5E-2</v>
      </c>
      <c r="E8" s="49">
        <f>Assumptions!$E$10</f>
        <v>5.5E-2</v>
      </c>
      <c r="F8" s="49">
        <f>Assumptions!$E$10</f>
        <v>5.5E-2</v>
      </c>
      <c r="G8" s="49">
        <f>Assumptions!$E$10</f>
        <v>5.5E-2</v>
      </c>
    </row>
    <row r="9" spans="1:7" x14ac:dyDescent="0.25">
      <c r="B9" s="39" t="s">
        <v>14</v>
      </c>
      <c r="C9" s="49">
        <f>Assumptions!$E$11</f>
        <v>0.29499999999999998</v>
      </c>
      <c r="D9" s="49">
        <f>Assumptions!$E$11</f>
        <v>0.29499999999999998</v>
      </c>
      <c r="E9" s="49">
        <f>Assumptions!$E$11</f>
        <v>0.29499999999999998</v>
      </c>
      <c r="F9" s="49">
        <f>Assumptions!$E$11</f>
        <v>0.29499999999999998</v>
      </c>
      <c r="G9" s="49">
        <f>Assumptions!$E$11</f>
        <v>0.29499999999999998</v>
      </c>
    </row>
    <row r="10" spans="1:7" x14ac:dyDescent="0.25">
      <c r="B10" t="s">
        <v>48</v>
      </c>
      <c r="C10" s="38">
        <f>C7*C9</f>
        <v>14920.437724999998</v>
      </c>
      <c r="D10" s="38">
        <f>D7*D9</f>
        <v>15741.061799874997</v>
      </c>
      <c r="E10" s="38">
        <f>E7*E9</f>
        <v>16606.820198868121</v>
      </c>
      <c r="F10" s="38">
        <f>F7*F9</f>
        <v>17520.195309805866</v>
      </c>
      <c r="G10" s="38">
        <f>G7*G9</f>
        <v>18483.806051845186</v>
      </c>
    </row>
    <row r="11" spans="1:7" x14ac:dyDescent="0.25">
      <c r="B11" t="s">
        <v>16</v>
      </c>
      <c r="C11" s="49">
        <f>Assumptions!$E$12</f>
        <v>0.23</v>
      </c>
      <c r="D11" s="49">
        <f>Assumptions!$E$12</f>
        <v>0.23</v>
      </c>
      <c r="E11" s="49">
        <f>Assumptions!$E$12</f>
        <v>0.23</v>
      </c>
      <c r="F11" s="49">
        <f>Assumptions!$E$12</f>
        <v>0.23</v>
      </c>
      <c r="G11" s="49">
        <f>Assumptions!$E$12</f>
        <v>0.23</v>
      </c>
    </row>
    <row r="12" spans="1:7" x14ac:dyDescent="0.25">
      <c r="B12" t="s">
        <v>45</v>
      </c>
      <c r="C12" s="38">
        <f>C10*(1-C11)</f>
        <v>11488.737048249999</v>
      </c>
      <c r="D12" s="38">
        <f>D10*(1-D11)</f>
        <v>12120.617585903748</v>
      </c>
      <c r="E12" s="38">
        <f>E10*(1-E11)</f>
        <v>12787.251553128453</v>
      </c>
      <c r="F12" s="38">
        <f>F10*(1-F11)</f>
        <v>13490.550388550517</v>
      </c>
      <c r="G12" s="38">
        <f>G10*(1-G11)</f>
        <v>14232.530659920792</v>
      </c>
    </row>
    <row r="15" spans="1:7" x14ac:dyDescent="0.25">
      <c r="A15" t="s">
        <v>7</v>
      </c>
      <c r="B15" s="48" t="s">
        <v>49</v>
      </c>
      <c r="C15" s="9">
        <v>2026</v>
      </c>
      <c r="D15" s="9">
        <f>C15+1</f>
        <v>2027</v>
      </c>
      <c r="E15" s="9">
        <f>D15+1</f>
        <v>2028</v>
      </c>
      <c r="F15" s="9">
        <f>E15+1</f>
        <v>2029</v>
      </c>
      <c r="G15" s="9">
        <f>F15+1</f>
        <v>2030</v>
      </c>
    </row>
    <row r="16" spans="1:7" x14ac:dyDescent="0.25">
      <c r="B16" t="s">
        <v>50</v>
      </c>
      <c r="C16" s="38">
        <f>C7*Assumptions!$E$13</f>
        <v>1264.4438749999999</v>
      </c>
      <c r="D16" s="38">
        <f>D7*Assumptions!$E$13</f>
        <v>1333.9882881249998</v>
      </c>
      <c r="E16" s="38">
        <f>E7*Assumptions!$E$13</f>
        <v>1407.3576439718747</v>
      </c>
      <c r="F16" s="38">
        <f>F7*Assumptions!$E$13</f>
        <v>1484.7623143903277</v>
      </c>
      <c r="G16" s="38">
        <f>G7*Assumptions!$E$13</f>
        <v>1566.4242416817956</v>
      </c>
    </row>
    <row r="17" spans="1:7" x14ac:dyDescent="0.25">
      <c r="B17" t="s">
        <v>42</v>
      </c>
      <c r="C17" s="38">
        <f>C7*Assumptions!$E$14</f>
        <v>2023.1101999999998</v>
      </c>
      <c r="D17" s="38">
        <f>D7*Assumptions!$E$14</f>
        <v>2134.3812609999995</v>
      </c>
      <c r="E17" s="38">
        <f>E7*Assumptions!$E$14</f>
        <v>2251.7722303549995</v>
      </c>
      <c r="F17" s="38">
        <f>F7*Assumptions!$E$14</f>
        <v>2375.6197030245244</v>
      </c>
      <c r="G17" s="38">
        <f>G7*Assumptions!$E$14</f>
        <v>2506.2787866908729</v>
      </c>
    </row>
    <row r="18" spans="1:7" x14ac:dyDescent="0.25">
      <c r="B18" t="s">
        <v>43</v>
      </c>
      <c r="C18" s="38">
        <f>C7*Assumptions!$E$15</f>
        <v>505.77754999999996</v>
      </c>
      <c r="D18" s="38">
        <f>D7*Assumptions!$E$15</f>
        <v>533.59531524999989</v>
      </c>
      <c r="E18" s="38">
        <f>E7*Assumptions!$E$15</f>
        <v>562.94305758874987</v>
      </c>
      <c r="F18" s="38">
        <f>F7*Assumptions!$E$15</f>
        <v>593.90492575613109</v>
      </c>
      <c r="G18" s="38">
        <f>G7*Assumptions!$E$15</f>
        <v>626.56969667271824</v>
      </c>
    </row>
    <row r="21" spans="1:7" x14ac:dyDescent="0.25">
      <c r="A21" t="s">
        <v>7</v>
      </c>
      <c r="B21" s="48" t="s">
        <v>51</v>
      </c>
      <c r="C21" s="9">
        <v>2026</v>
      </c>
      <c r="D21" s="9">
        <f>C21+1</f>
        <v>2027</v>
      </c>
      <c r="E21" s="9">
        <f>D21+1</f>
        <v>2028</v>
      </c>
      <c r="F21" s="9">
        <f>E21+1</f>
        <v>2029</v>
      </c>
      <c r="G21" s="9">
        <f>F21+1</f>
        <v>2030</v>
      </c>
    </row>
    <row r="22" spans="1:7" x14ac:dyDescent="0.25">
      <c r="B22" t="s">
        <v>83</v>
      </c>
      <c r="C22" s="38">
        <f>C12+C16-C17-C18</f>
        <v>10224.293173249998</v>
      </c>
      <c r="D22" s="38">
        <f>D12+D16-D17-D18</f>
        <v>10786.629297778749</v>
      </c>
      <c r="E22" s="38">
        <f>E12+E16-E17-E18</f>
        <v>11379.893909156579</v>
      </c>
      <c r="F22" s="38">
        <f>F12+F16-F17-F18</f>
        <v>12005.788074160189</v>
      </c>
      <c r="G22" s="38">
        <f>G12+G16-G17-G18</f>
        <v>12666.106418238996</v>
      </c>
    </row>
    <row r="26" spans="1:7" x14ac:dyDescent="0.25">
      <c r="F26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28"/>
  <sheetViews>
    <sheetView showGridLines="0" zoomScaleNormal="100" workbookViewId="0">
      <selection activeCell="C27" sqref="C27"/>
    </sheetView>
  </sheetViews>
  <sheetFormatPr defaultColWidth="8.5" defaultRowHeight="15.75" x14ac:dyDescent="0.25"/>
  <cols>
    <col min="1" max="1" width="4.625" customWidth="1"/>
    <col min="2" max="2" width="22.75" customWidth="1"/>
    <col min="3" max="3" width="16.75" customWidth="1"/>
    <col min="4" max="6" width="16.625" customWidth="1"/>
  </cols>
  <sheetData>
    <row r="2" spans="1:4" s="46" customFormat="1" ht="21" customHeight="1" x14ac:dyDescent="0.35">
      <c r="B2" s="47" t="s">
        <v>52</v>
      </c>
    </row>
    <row r="4" spans="1:4" x14ac:dyDescent="0.25">
      <c r="D4" s="50"/>
    </row>
    <row r="5" spans="1:4" x14ac:dyDescent="0.25">
      <c r="A5" t="s">
        <v>7</v>
      </c>
      <c r="B5" s="9" t="s">
        <v>53</v>
      </c>
      <c r="C5" s="9"/>
    </row>
    <row r="6" spans="1:4" x14ac:dyDescent="0.25">
      <c r="B6" t="s">
        <v>21</v>
      </c>
      <c r="C6" s="51">
        <f>Assumptions!E18</f>
        <v>0.04</v>
      </c>
    </row>
    <row r="7" spans="1:4" x14ac:dyDescent="0.25">
      <c r="B7" t="s">
        <v>23</v>
      </c>
      <c r="C7" s="52">
        <f>Assumptions!E20</f>
        <v>0.6</v>
      </c>
    </row>
    <row r="8" spans="1:4" x14ac:dyDescent="0.25">
      <c r="B8" t="s">
        <v>22</v>
      </c>
      <c r="C8" s="53">
        <f>Assumptions!E19</f>
        <v>5.5E-2</v>
      </c>
    </row>
    <row r="9" spans="1:4" x14ac:dyDescent="0.25">
      <c r="B9" t="s">
        <v>54</v>
      </c>
      <c r="C9" s="51">
        <f>C6+C7*C8</f>
        <v>7.3000000000000009E-2</v>
      </c>
    </row>
    <row r="12" spans="1:4" x14ac:dyDescent="0.25">
      <c r="A12" t="s">
        <v>7</v>
      </c>
      <c r="B12" s="9" t="s">
        <v>24</v>
      </c>
      <c r="C12" s="9"/>
    </row>
    <row r="13" spans="1:4" x14ac:dyDescent="0.25">
      <c r="B13" t="s">
        <v>55</v>
      </c>
      <c r="C13" s="51">
        <f>Assumptions!E21</f>
        <v>4.4999999999999998E-2</v>
      </c>
    </row>
    <row r="14" spans="1:4" x14ac:dyDescent="0.25">
      <c r="B14" t="s">
        <v>16</v>
      </c>
      <c r="C14" s="54">
        <f>Assumptions!E12</f>
        <v>0.23</v>
      </c>
    </row>
    <row r="15" spans="1:4" x14ac:dyDescent="0.25">
      <c r="B15" t="s">
        <v>56</v>
      </c>
      <c r="C15" s="51">
        <f>C13*(1-C14)</f>
        <v>3.465E-2</v>
      </c>
    </row>
    <row r="18" spans="1:3" x14ac:dyDescent="0.25">
      <c r="A18" t="s">
        <v>7</v>
      </c>
      <c r="B18" s="9" t="s">
        <v>57</v>
      </c>
      <c r="C18" s="11"/>
    </row>
    <row r="19" spans="1:3" x14ac:dyDescent="0.25">
      <c r="B19" t="s">
        <v>58</v>
      </c>
      <c r="C19" s="54">
        <f>Assumptions!E23</f>
        <v>0.7</v>
      </c>
    </row>
    <row r="20" spans="1:3" x14ac:dyDescent="0.25">
      <c r="B20" t="s">
        <v>59</v>
      </c>
      <c r="C20" s="54">
        <f>Assumptions!E22</f>
        <v>0.3</v>
      </c>
    </row>
    <row r="21" spans="1:3" x14ac:dyDescent="0.25">
      <c r="B21" t="s">
        <v>60</v>
      </c>
      <c r="C21" s="54">
        <f>C19+C20</f>
        <v>1</v>
      </c>
    </row>
    <row r="22" spans="1:3" x14ac:dyDescent="0.25">
      <c r="B22" t="s">
        <v>61</v>
      </c>
      <c r="C22" s="54">
        <f>C19/C21</f>
        <v>0.7</v>
      </c>
    </row>
    <row r="23" spans="1:3" x14ac:dyDescent="0.25">
      <c r="B23" t="s">
        <v>62</v>
      </c>
      <c r="C23" s="54">
        <f>C20/C21</f>
        <v>0.3</v>
      </c>
    </row>
    <row r="25" spans="1:3" x14ac:dyDescent="0.25">
      <c r="B25" s="55"/>
      <c r="C25" s="55"/>
    </row>
    <row r="26" spans="1:3" x14ac:dyDescent="0.25">
      <c r="A26" s="22" t="s">
        <v>7</v>
      </c>
      <c r="B26" s="56" t="s">
        <v>63</v>
      </c>
      <c r="C26" s="70">
        <f>(C22*C9)+(C23*C15)</f>
        <v>6.1495000000000008E-2</v>
      </c>
    </row>
    <row r="28" spans="1:3" x14ac:dyDescent="0.25">
      <c r="B28" s="4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4"/>
  <sheetViews>
    <sheetView showGridLines="0" zoomScaleNormal="100" workbookViewId="0">
      <selection activeCell="B33" sqref="B33"/>
    </sheetView>
  </sheetViews>
  <sheetFormatPr defaultColWidth="8.5" defaultRowHeight="15.75" x14ac:dyDescent="0.25"/>
  <cols>
    <col min="1" max="1" width="3.625" customWidth="1"/>
    <col min="2" max="2" width="27.75" customWidth="1"/>
    <col min="3" max="3" width="16" customWidth="1"/>
    <col min="4" max="8" width="16.625" customWidth="1"/>
  </cols>
  <sheetData>
    <row r="2" spans="1:8" s="46" customFormat="1" ht="21" customHeight="1" x14ac:dyDescent="0.35">
      <c r="B2" s="47" t="s">
        <v>64</v>
      </c>
    </row>
    <row r="4" spans="1:8" x14ac:dyDescent="0.25">
      <c r="B4" s="35" t="s">
        <v>30</v>
      </c>
    </row>
    <row r="5" spans="1:8" x14ac:dyDescent="0.25">
      <c r="A5" t="s">
        <v>7</v>
      </c>
      <c r="B5" s="9" t="s">
        <v>65</v>
      </c>
      <c r="C5" s="9">
        <v>2026</v>
      </c>
      <c r="D5" s="9">
        <f>C5+1</f>
        <v>2027</v>
      </c>
      <c r="E5" s="9">
        <f>D5+1</f>
        <v>2028</v>
      </c>
      <c r="F5" s="9">
        <f>E5+1</f>
        <v>2029</v>
      </c>
      <c r="G5" s="9">
        <f>F5+1</f>
        <v>2030</v>
      </c>
      <c r="H5" s="50"/>
    </row>
    <row r="6" spans="1:8" x14ac:dyDescent="0.25">
      <c r="B6" t="s">
        <v>83</v>
      </c>
      <c r="C6" s="38">
        <f>Forecast!C22</f>
        <v>10224.293173249998</v>
      </c>
      <c r="D6" s="38">
        <f>Forecast!D22</f>
        <v>10786.629297778749</v>
      </c>
      <c r="E6" s="38">
        <f>Forecast!E22</f>
        <v>11379.893909156579</v>
      </c>
      <c r="F6" s="38">
        <f>Forecast!F22</f>
        <v>12005.788074160189</v>
      </c>
      <c r="G6" s="38">
        <f>Forecast!G22</f>
        <v>12666.106418238996</v>
      </c>
    </row>
    <row r="7" spans="1:8" x14ac:dyDescent="0.25">
      <c r="B7" t="s">
        <v>66</v>
      </c>
      <c r="C7" s="43">
        <f>1/(1+WACC!$C$26)</f>
        <v>0.94206755566441658</v>
      </c>
      <c r="D7" s="43">
        <f>C7/(1+WACC!$C$26)</f>
        <v>0.88749127943552863</v>
      </c>
      <c r="E7" s="43">
        <f>D7/(1+WACC!$C$26)</f>
        <v>0.83607674029131418</v>
      </c>
      <c r="F7" s="43">
        <f>E7/(1+WACC!$C$26)</f>
        <v>0.78764077107411168</v>
      </c>
      <c r="G7" s="43">
        <f>F7/(1+WACC!$C$26)</f>
        <v>0.74201081594742468</v>
      </c>
    </row>
    <row r="8" spans="1:8" x14ac:dyDescent="0.25">
      <c r="B8" t="s">
        <v>67</v>
      </c>
      <c r="C8" s="52">
        <f>C6*C7</f>
        <v>9631.9748781200069</v>
      </c>
      <c r="D8" s="52">
        <f>D6*D7</f>
        <v>9573.039436282419</v>
      </c>
      <c r="E8" s="52">
        <f>E6*E7</f>
        <v>9514.4646044286128</v>
      </c>
      <c r="F8" s="52">
        <f>F6*F7</f>
        <v>9456.2481760839055</v>
      </c>
      <c r="G8" s="52">
        <f>G6*G7</f>
        <v>9398.3879582744303</v>
      </c>
    </row>
    <row r="10" spans="1:8" x14ac:dyDescent="0.25">
      <c r="D10" s="50"/>
      <c r="E10" s="50"/>
      <c r="F10" s="50"/>
      <c r="G10" s="50"/>
    </row>
    <row r="11" spans="1:8" x14ac:dyDescent="0.25">
      <c r="A11" t="s">
        <v>7</v>
      </c>
      <c r="B11" s="9" t="s">
        <v>68</v>
      </c>
      <c r="C11" s="9"/>
    </row>
    <row r="12" spans="1:8" x14ac:dyDescent="0.25">
      <c r="B12" t="s">
        <v>28</v>
      </c>
      <c r="C12" s="57">
        <f>Assumptions!E26</f>
        <v>2.75E-2</v>
      </c>
    </row>
    <row r="13" spans="1:8" x14ac:dyDescent="0.25">
      <c r="B13" t="s">
        <v>69</v>
      </c>
      <c r="C13" s="38">
        <f>G6*(1+'Free Cash Flow'!C12)/(WACC!C26-'Free Cash Flow'!C12)</f>
        <v>382833.48565202428</v>
      </c>
    </row>
    <row r="14" spans="1:8" x14ac:dyDescent="0.25">
      <c r="B14" t="s">
        <v>70</v>
      </c>
      <c r="C14" s="38">
        <f>C13/(1+WACC!C26)^5</f>
        <v>284066.58706065529</v>
      </c>
    </row>
    <row r="16" spans="1:8" x14ac:dyDescent="0.25">
      <c r="E16" s="58"/>
      <c r="F16" s="58"/>
      <c r="G16" s="58"/>
    </row>
    <row r="17" spans="1:6" x14ac:dyDescent="0.25">
      <c r="A17" t="s">
        <v>7</v>
      </c>
      <c r="B17" s="9" t="s">
        <v>71</v>
      </c>
      <c r="C17" s="9"/>
    </row>
    <row r="18" spans="1:6" x14ac:dyDescent="0.25">
      <c r="B18" s="59" t="s">
        <v>72</v>
      </c>
      <c r="C18" s="60">
        <f>SUM(C8:G8)+C14</f>
        <v>331640.70211384469</v>
      </c>
      <c r="D18" s="58"/>
    </row>
    <row r="19" spans="1:6" x14ac:dyDescent="0.25">
      <c r="B19" s="59" t="s">
        <v>73</v>
      </c>
      <c r="C19" s="60">
        <v>30069</v>
      </c>
    </row>
    <row r="20" spans="1:6" x14ac:dyDescent="0.25">
      <c r="B20" s="59" t="s">
        <v>74</v>
      </c>
      <c r="C20" s="60">
        <f>C18-C19</f>
        <v>301571.70211384469</v>
      </c>
    </row>
    <row r="21" spans="1:6" x14ac:dyDescent="0.25">
      <c r="B21" s="59" t="s">
        <v>75</v>
      </c>
      <c r="C21" s="60">
        <v>7040</v>
      </c>
    </row>
    <row r="22" spans="1:6" x14ac:dyDescent="0.25">
      <c r="B22" s="61" t="s">
        <v>76</v>
      </c>
      <c r="C22" s="62">
        <f>C20/C21</f>
        <v>42.83688950480748</v>
      </c>
    </row>
    <row r="30" spans="1:6" x14ac:dyDescent="0.25">
      <c r="B30" s="4" t="s">
        <v>77</v>
      </c>
      <c r="C30" s="4"/>
      <c r="D30" s="4"/>
      <c r="E30" s="4"/>
      <c r="F30" s="4"/>
    </row>
    <row r="31" spans="1:6" x14ac:dyDescent="0.25">
      <c r="B31" s="4"/>
      <c r="C31" s="4"/>
      <c r="D31" s="4"/>
      <c r="E31" s="4"/>
      <c r="F31" s="4"/>
    </row>
    <row r="32" spans="1:6" x14ac:dyDescent="0.25">
      <c r="B32" s="4"/>
      <c r="C32" s="4"/>
      <c r="D32" s="4"/>
      <c r="E32" s="4"/>
      <c r="F32" s="4"/>
    </row>
    <row r="33" spans="2:6" x14ac:dyDescent="0.25">
      <c r="B33" s="4"/>
      <c r="C33" s="4"/>
      <c r="D33" s="4"/>
      <c r="E33" s="4"/>
      <c r="F33" s="4"/>
    </row>
    <row r="34" spans="2:6" x14ac:dyDescent="0.25">
      <c r="B34" s="4"/>
      <c r="C34" s="4"/>
      <c r="D34" s="4"/>
      <c r="E34" s="4"/>
      <c r="F34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24"/>
  <sheetViews>
    <sheetView showGridLines="0" tabSelected="1" zoomScaleNormal="100" workbookViewId="0">
      <selection activeCell="I29" sqref="I29"/>
    </sheetView>
  </sheetViews>
  <sheetFormatPr defaultColWidth="8.5" defaultRowHeight="15.75" x14ac:dyDescent="0.25"/>
  <cols>
    <col min="1" max="1" width="5.375" customWidth="1"/>
    <col min="2" max="7" width="12.625" customWidth="1"/>
    <col min="8" max="8" width="7.375" customWidth="1"/>
    <col min="9" max="9" width="15.625" customWidth="1"/>
  </cols>
  <sheetData>
    <row r="2" spans="1:10" s="46" customFormat="1" ht="21" customHeight="1" x14ac:dyDescent="0.35">
      <c r="B2" s="47" t="s">
        <v>84</v>
      </c>
    </row>
    <row r="4" spans="1:10" x14ac:dyDescent="0.25">
      <c r="A4" s="63"/>
      <c r="B4" s="63"/>
      <c r="C4" s="63"/>
      <c r="D4" s="63"/>
      <c r="E4" s="63"/>
      <c r="F4" s="63"/>
      <c r="G4" s="63"/>
      <c r="H4" s="63"/>
    </row>
    <row r="5" spans="1:10" ht="18.75" customHeight="1" x14ac:dyDescent="0.3">
      <c r="A5" s="63"/>
      <c r="B5" s="64" t="s">
        <v>78</v>
      </c>
      <c r="D5" s="63"/>
      <c r="E5" s="63"/>
      <c r="F5" s="63"/>
      <c r="G5" s="63"/>
      <c r="H5" s="63"/>
    </row>
    <row r="6" spans="1:10" x14ac:dyDescent="0.25">
      <c r="A6" s="63"/>
      <c r="B6" s="63"/>
      <c r="C6" s="63"/>
      <c r="D6" s="63"/>
      <c r="E6" s="63"/>
      <c r="F6" s="63"/>
      <c r="G6" s="63"/>
      <c r="H6" s="63"/>
    </row>
    <row r="7" spans="1:10" ht="16.5" customHeight="1" x14ac:dyDescent="0.25">
      <c r="A7" s="63"/>
      <c r="B7" s="63"/>
      <c r="C7" s="63"/>
      <c r="D7" s="65" t="s">
        <v>28</v>
      </c>
      <c r="E7" s="63"/>
      <c r="F7" s="63"/>
      <c r="G7" s="63"/>
    </row>
    <row r="8" spans="1:10" x14ac:dyDescent="0.25">
      <c r="A8" s="63"/>
      <c r="B8" s="66">
        <f>'Free Cash Flow'!C22</f>
        <v>42.83688950480748</v>
      </c>
      <c r="C8" s="75">
        <v>1.4999999999999999E-2</v>
      </c>
      <c r="D8" s="75">
        <v>0.02</v>
      </c>
      <c r="E8" s="76">
        <v>2.75E-2</v>
      </c>
      <c r="F8" s="75">
        <v>0.03</v>
      </c>
      <c r="G8" s="77">
        <v>3.5000000000000003E-2</v>
      </c>
      <c r="I8" s="67" t="s">
        <v>79</v>
      </c>
      <c r="J8" s="68"/>
    </row>
    <row r="9" spans="1:10" x14ac:dyDescent="0.25">
      <c r="A9" s="63"/>
      <c r="B9" s="71">
        <v>5.1499999999999997E-2</v>
      </c>
      <c r="C9" s="85">
        <f>(NPV($B9,Forecast!$C$22:$G$22)+Forecast!$G$22*(1+C$8)/($B9-C$8)/(1+$B9)^5-'Free Cash Flow'!$C$19)/'Free Cash Flow'!$C$21</f>
        <v>41.603069203771611</v>
      </c>
      <c r="D9" s="86">
        <f>(NPV($B9,Forecast!$C$22:$G$22)+Forecast!$G$22*(1+D$8)/($B9-D$8)/(1+$B9)^5-'Free Cash Flow'!$C$19)/'Free Cash Flow'!$C$21</f>
        <v>48.003363609001887</v>
      </c>
      <c r="E9" s="87">
        <f>(NPV($B9,Forecast!$C$22:$G$22)+Forecast!$G$22*(1+E$8)/($B9-E$8)/(1+$B9)^5-'Free Cash Flow'!$C$19)/'Free Cash Flow'!$C$21</f>
        <v>62.604035220933469</v>
      </c>
      <c r="F9" s="86">
        <f>(NPV($B9,Forecast!$C$22:$G$22)+Forecast!$G$22*(1+F$8)/($B9-F$8)/(1+$B9)^5-'Free Cash Flow'!$C$19)/'Free Cash Flow'!$C$21</f>
        <v>69.734595775597711</v>
      </c>
      <c r="G9" s="88">
        <f>(NPV($B9,Forecast!$C$22:$G$22)+Forecast!$G$22*(1+G$8)/($B9-G$8)/(1+$B9)^5-'Free Cash Flow'!$C$19)/'Free Cash Flow'!$C$21</f>
        <v>90.478044661893733</v>
      </c>
      <c r="I9" s="21" t="s">
        <v>80</v>
      </c>
      <c r="J9" s="78">
        <f>WACC!C26</f>
        <v>6.1495000000000008E-2</v>
      </c>
    </row>
    <row r="10" spans="1:10" ht="16.5" customHeight="1" x14ac:dyDescent="0.25">
      <c r="A10" s="63"/>
      <c r="B10" s="72">
        <v>5.6500000000000002E-2</v>
      </c>
      <c r="C10" s="89">
        <f>(NPV($B10,Forecast!$C$22:$G$22)+Forecast!$G$22*(1+C$8)/($B10-C$8)/(1+$B10)^5-'Free Cash Flow'!$C$19)/'Free Cash Flow'!$C$21</f>
        <v>36.012929171234106</v>
      </c>
      <c r="D10" s="90">
        <f>(NPV($B10,Forecast!$C$22:$G$22)+Forecast!$G$22*(1+D$8)/($B10-D$8)/(1+$B10)^5-'Free Cash Flow'!$C$19)/'Free Cash Flow'!$C$21</f>
        <v>40.779669685906505</v>
      </c>
      <c r="E10" s="91">
        <f>(NPV($B10,Forecast!$C$22:$G$22)+Forecast!$G$22*(1+E$8)/($B10-E$8)/(1+$B10)^5-'Free Cash Flow'!$C$19)/'Free Cash Flow'!$C$21</f>
        <v>51.011724756194688</v>
      </c>
      <c r="F10" s="90">
        <f>(NPV($B10,Forecast!$C$22:$G$22)+Forecast!$G$22*(1+F$8)/($B10-F$8)/(1+$B10)^5-'Free Cash Flow'!$C$19)/'Free Cash Flow'!$C$21</f>
        <v>55.709460731861576</v>
      </c>
      <c r="G10" s="92">
        <f>(NPV($B10,Forecast!$C$22:$G$22)+Forecast!$G$22*(1+G$8)/($B10-G$8)/(1+$B10)^5-'Free Cash Flow'!$C$19)/'Free Cash Flow'!$C$21</f>
        <v>68.382422898776937</v>
      </c>
      <c r="I10" s="24" t="s">
        <v>81</v>
      </c>
      <c r="J10" s="83">
        <f>'Free Cash Flow'!C12</f>
        <v>2.75E-2</v>
      </c>
    </row>
    <row r="11" spans="1:10" x14ac:dyDescent="0.25">
      <c r="A11" s="69"/>
      <c r="B11" s="73">
        <v>6.1499999999999999E-2</v>
      </c>
      <c r="C11" s="93">
        <f>(NPV($B11,Forecast!$C$22:$G$22)+Forecast!$G$22*(1+C$8)/($B11-C$8)/(1+$B11)^5-'Free Cash Flow'!$C$19)/'Free Cash Flow'!$C$21</f>
        <v>31.626025874695522</v>
      </c>
      <c r="D11" s="91">
        <f>(NPV($B11,Forecast!$C$22:$G$22)+Forecast!$G$22*(1+D$8)/($B11-D$8)/(1+$B11)^5-'Free Cash Flow'!$C$19)/'Free Cash Flow'!$C$21</f>
        <v>35.297660308406478</v>
      </c>
      <c r="E11" s="94">
        <f>(NPV($B11,Forecast!$C$22:$G$22)+Forecast!$G$22*(1+E$8)/($B11-E$8)/(1+$B11)^5-'Free Cash Flow'!$C$19)/'Free Cash Flow'!$C$21</f>
        <v>42.829910359916433</v>
      </c>
      <c r="F11" s="91">
        <f>(NPV($B11,Forecast!$C$22:$G$22)+Forecast!$G$22*(1+F$8)/($B11-F$8)/(1+$B11)^5-'Free Cash Flow'!$C$19)/'Free Cash Flow'!$C$21</f>
        <v>46.137723874600702</v>
      </c>
      <c r="G11" s="95">
        <f>(NPV($B11,Forecast!$C$22:$G$22)+Forecast!$G$22*(1+G$8)/($B11-G$8)/(1+$B11)^5-'Free Cash Flow'!$C$19)/'Free Cash Flow'!$C$21</f>
        <v>54.625698176432032</v>
      </c>
    </row>
    <row r="12" spans="1:10" x14ac:dyDescent="0.25">
      <c r="A12" s="63"/>
      <c r="B12" s="72">
        <v>6.6500000000000004E-2</v>
      </c>
      <c r="C12" s="89">
        <f>(NPV($B12,Forecast!$C$22:$G$22)+Forecast!$G$22*(1+C$8)/($B12-C$8)/(1+$B12)^5-'Free Cash Flow'!$C$19)/'Free Cash Flow'!$C$21</f>
        <v>28.091878679197688</v>
      </c>
      <c r="D12" s="90">
        <f>(NPV($B12,Forecast!$C$22:$G$22)+Forecast!$G$22*(1+D$8)/($B12-D$8)/(1+$B12)^5-'Free Cash Flow'!$C$19)/'Free Cash Flow'!$C$21</f>
        <v>30.995479140227655</v>
      </c>
      <c r="E12" s="91">
        <f>(NPV($B12,Forecast!$C$22:$G$22)+Forecast!$G$22*(1+E$8)/($B12-E$8)/(1+$B12)^5-'Free Cash Flow'!$C$19)/'Free Cash Flow'!$C$21</f>
        <v>36.746841591883161</v>
      </c>
      <c r="F12" s="90">
        <f>(NPV($B12,Forecast!$C$22:$G$22)+Forecast!$G$22*(1+F$8)/($B12-F$8)/(1+$B12)^5-'Free Cash Flow'!$C$19)/'Free Cash Flow'!$C$21</f>
        <v>39.18920098916152</v>
      </c>
      <c r="G12" s="92">
        <f>(NPV($B12,Forecast!$C$22:$G$22)+Forecast!$G$22*(1+G$8)/($B12-G$8)/(1+$B12)^5-'Free Cash Flow'!$C$19)/'Free Cash Flow'!$C$21</f>
        <v>45.23694806813652</v>
      </c>
      <c r="H12" s="63"/>
    </row>
    <row r="13" spans="1:10" x14ac:dyDescent="0.25">
      <c r="A13" s="63"/>
      <c r="B13" s="74">
        <v>7.1499999999999994E-2</v>
      </c>
      <c r="C13" s="96">
        <f>(NPV($B13,Forecast!$C$22:$G$22)+Forecast!$G$22*(1+C$8)/($B13-C$8)/(1+$B13)^5-'Free Cash Flow'!$C$19)/'Free Cash Flow'!$C$21</f>
        <v>25.184071522594191</v>
      </c>
      <c r="D13" s="97">
        <f>(NPV($B13,Forecast!$C$22:$G$22)+Forecast!$G$22*(1+D$8)/($B13-D$8)/(1+$B13)^5-'Free Cash Flow'!$C$19)/'Free Cash Flow'!$C$21</f>
        <v>27.529467086495846</v>
      </c>
      <c r="E13" s="98">
        <f>(NPV($B13,Forecast!$C$22:$G$22)+Forecast!$G$22*(1+E$8)/($B13-E$8)/(1+$B13)^5-'Free Cash Flow'!$C$19)/'Free Cash Flow'!$C$21</f>
        <v>32.047018769238228</v>
      </c>
      <c r="F13" s="97">
        <f>(NPV($B13,Forecast!$C$22:$G$22)+Forecast!$G$22*(1+F$8)/($B13-F$8)/(1+$B13)^5-'Free Cash Flow'!$C$19)/'Free Cash Flow'!$C$21</f>
        <v>33.915724886999129</v>
      </c>
      <c r="G13" s="99">
        <f>(NPV($B13,Forecast!$C$22:$G$22)+Forecast!$G$22*(1+G$8)/($B13-G$8)/(1+$B13)^5-'Free Cash Flow'!$C$19)/'Free Cash Flow'!$C$21</f>
        <v>38.42109854077885</v>
      </c>
      <c r="H13" s="63"/>
    </row>
    <row r="14" spans="1:10" x14ac:dyDescent="0.25">
      <c r="A14" s="63"/>
      <c r="B14" s="63"/>
      <c r="C14" s="63"/>
      <c r="D14" s="63"/>
      <c r="E14" s="63"/>
      <c r="F14" s="63"/>
      <c r="G14" s="63"/>
      <c r="H14" s="63"/>
    </row>
    <row r="15" spans="1:10" x14ac:dyDescent="0.25">
      <c r="A15" s="63"/>
      <c r="B15" s="63"/>
      <c r="C15" s="63"/>
      <c r="D15" s="63"/>
      <c r="E15" s="63"/>
      <c r="F15" s="63"/>
      <c r="G15" s="63"/>
      <c r="H15" s="63"/>
    </row>
    <row r="17" spans="1:9" x14ac:dyDescent="0.25">
      <c r="B17" s="63"/>
      <c r="C17" s="63"/>
      <c r="D17" s="63"/>
      <c r="E17" s="63"/>
      <c r="F17" s="63"/>
      <c r="G17" s="63"/>
      <c r="H17" s="63"/>
      <c r="I17" s="63"/>
    </row>
    <row r="18" spans="1:9" x14ac:dyDescent="0.25">
      <c r="A18" s="63"/>
      <c r="B18" s="63"/>
      <c r="C18" s="63"/>
      <c r="D18" s="63"/>
      <c r="E18" s="63"/>
    </row>
    <row r="24" spans="1:9" x14ac:dyDescent="0.25">
      <c r="A24" s="63"/>
      <c r="B24" s="63"/>
      <c r="C24" s="63"/>
      <c r="D24" s="6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 Financials</vt:lpstr>
      <vt:lpstr>Forecast</vt:lpstr>
      <vt:lpstr>WACC</vt:lpstr>
      <vt:lpstr>Free Cash Flow</vt:lpstr>
      <vt:lpstr>DCF &amp;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Norrman</dc:creator>
  <dc:description/>
  <cp:lastModifiedBy>Simon Norrman</cp:lastModifiedBy>
  <cp:revision>0</cp:revision>
  <cp:lastPrinted>2026-02-24T18:07:26Z</cp:lastPrinted>
  <dcterms:created xsi:type="dcterms:W3CDTF">2026-02-22T18:01:47Z</dcterms:created>
  <dcterms:modified xsi:type="dcterms:W3CDTF">2026-05-20T17:07:40Z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0x010100D9B32B0F555FE0439A40646AB54314CE</vt:lpwstr>
  </property>
</Properties>
</file>