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ôj PC\Desktop\Coca Cola - DCF Valuation\"/>
    </mc:Choice>
  </mc:AlternateContent>
  <xr:revisionPtr revIDLastSave="0" documentId="8_{DFA0B340-C739-49DF-8AFF-582395007FE1}" xr6:coauthVersionLast="47" xr6:coauthVersionMax="47" xr10:uidLastSave="{00000000-0000-0000-0000-000000000000}"/>
  <bookViews>
    <workbookView xWindow="-120" yWindow="-120" windowWidth="29040" windowHeight="15840" activeTab="4" xr2:uid="{F236B8D2-2DE0-418F-A62D-0782908C1CB0}"/>
  </bookViews>
  <sheets>
    <sheet name="Cover" sheetId="1" r:id="rId1"/>
    <sheet name="Assumptions" sheetId="2" r:id="rId2"/>
    <sheet name="Historical Financials" sheetId="3" r:id="rId3"/>
    <sheet name="Forecast" sheetId="4" r:id="rId4"/>
    <sheet name="WACC" sheetId="6" r:id="rId5"/>
    <sheet name="Free Cash Flow" sheetId="5" r:id="rId6"/>
    <sheet name="DCF &amp; Sensitivit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6" l="1"/>
  <c r="J10" i="7"/>
  <c r="C21" i="6"/>
  <c r="C15" i="6"/>
  <c r="C9" i="6"/>
  <c r="D5" i="5"/>
  <c r="E5" i="5" s="1"/>
  <c r="F5" i="5" s="1"/>
  <c r="G5" i="5" s="1"/>
  <c r="D11" i="4"/>
  <c r="E11" i="4"/>
  <c r="F11" i="4"/>
  <c r="G11" i="4"/>
  <c r="C11" i="4"/>
  <c r="D9" i="4"/>
  <c r="E9" i="4"/>
  <c r="F9" i="4"/>
  <c r="G9" i="4"/>
  <c r="C9" i="4"/>
  <c r="D8" i="4"/>
  <c r="E8" i="4"/>
  <c r="F8" i="4"/>
  <c r="G8" i="4"/>
  <c r="C8" i="4"/>
  <c r="C7" i="4"/>
  <c r="D21" i="4"/>
  <c r="E21" i="4" s="1"/>
  <c r="F21" i="4" s="1"/>
  <c r="G21" i="4" s="1"/>
  <c r="D15" i="4"/>
  <c r="E15" i="4" s="1"/>
  <c r="F15" i="4" s="1"/>
  <c r="G15" i="4" s="1"/>
  <c r="D6" i="4"/>
  <c r="E6" i="4" s="1"/>
  <c r="F6" i="4" s="1"/>
  <c r="G6" i="4" s="1"/>
  <c r="D24" i="3"/>
  <c r="E24" i="3"/>
  <c r="F24" i="3"/>
  <c r="G24" i="3"/>
  <c r="C24" i="3"/>
  <c r="D22" i="3"/>
  <c r="E22" i="3" s="1"/>
  <c r="F22" i="3" s="1"/>
  <c r="G22" i="3" s="1"/>
  <c r="D16" i="3"/>
  <c r="E16" i="3" s="1"/>
  <c r="F16" i="3" s="1"/>
  <c r="G16" i="3" s="1"/>
  <c r="D12" i="3"/>
  <c r="E12" i="3"/>
  <c r="F12" i="3"/>
  <c r="G12" i="3"/>
  <c r="C12" i="3"/>
  <c r="D9" i="3"/>
  <c r="E9" i="3"/>
  <c r="F9" i="3"/>
  <c r="G9" i="3"/>
  <c r="C9" i="3"/>
  <c r="E7" i="3"/>
  <c r="F7" i="3"/>
  <c r="G7" i="3"/>
  <c r="D7" i="3"/>
  <c r="D5" i="3"/>
  <c r="E5" i="3" s="1"/>
  <c r="F5" i="3" s="1"/>
  <c r="G5" i="3" s="1"/>
  <c r="J9" i="7" l="1"/>
  <c r="C13" i="5" s="1"/>
  <c r="C7" i="5"/>
  <c r="C18" i="4"/>
  <c r="C10" i="4"/>
  <c r="C12" i="4" s="1"/>
  <c r="C17" i="4"/>
  <c r="C16" i="4"/>
  <c r="D7" i="4"/>
  <c r="C23" i="6"/>
  <c r="C22" i="6"/>
  <c r="D16" i="4" l="1"/>
  <c r="E7" i="4"/>
  <c r="D17" i="4"/>
  <c r="D18" i="4"/>
  <c r="D10" i="4"/>
  <c r="D12" i="4" s="1"/>
  <c r="C22" i="4"/>
  <c r="C6" i="5" s="1"/>
  <c r="E18" i="4" l="1"/>
  <c r="E10" i="4"/>
  <c r="E12" i="4" s="1"/>
  <c r="E16" i="4"/>
  <c r="E17" i="4"/>
  <c r="F7" i="4"/>
  <c r="D22" i="4"/>
  <c r="D6" i="5" s="1"/>
  <c r="C8" i="5"/>
  <c r="D7" i="5"/>
  <c r="F16" i="4" l="1"/>
  <c r="F18" i="4"/>
  <c r="F10" i="4"/>
  <c r="F12" i="4" s="1"/>
  <c r="F17" i="4"/>
  <c r="G7" i="4"/>
  <c r="E22" i="4"/>
  <c r="E6" i="5" s="1"/>
  <c r="D8" i="5"/>
  <c r="E7" i="5"/>
  <c r="G18" i="4" l="1"/>
  <c r="G16" i="4"/>
  <c r="G10" i="4"/>
  <c r="G12" i="4" s="1"/>
  <c r="G17" i="4"/>
  <c r="F22" i="4"/>
  <c r="F6" i="5" s="1"/>
  <c r="E8" i="5"/>
  <c r="F7" i="5"/>
  <c r="G22" i="4" l="1"/>
  <c r="G6" i="5" s="1"/>
  <c r="C14" i="5" s="1"/>
  <c r="F8" i="5"/>
  <c r="G7" i="5"/>
  <c r="G8" i="5" l="1"/>
  <c r="C18" i="5" s="1"/>
  <c r="C20" i="5" s="1"/>
  <c r="C22" i="5" s="1"/>
  <c r="B8" i="7" s="1"/>
</calcChain>
</file>

<file path=xl/sharedStrings.xml><?xml version="1.0" encoding="utf-8"?>
<sst xmlns="http://schemas.openxmlformats.org/spreadsheetml/2006/main" count="132" uniqueCount="96">
  <si>
    <t>The Coca-Cola Company</t>
  </si>
  <si>
    <t>5-Year Forecast Model</t>
  </si>
  <si>
    <t>Simon Norrman</t>
  </si>
  <si>
    <t>This model estimates the intrinsic value of The Coca-Cola Company using a 5-year DCF approach based on publicly available financial data</t>
  </si>
  <si>
    <t>22 Febraury 2026</t>
  </si>
  <si>
    <t>Discounted Cash Flow Valuation</t>
  </si>
  <si>
    <t>Ticker</t>
  </si>
  <si>
    <t>Date</t>
  </si>
  <si>
    <t>KO</t>
  </si>
  <si>
    <t>x</t>
  </si>
  <si>
    <t xml:space="preserve"> </t>
  </si>
  <si>
    <t>Key Model Assumptions</t>
  </si>
  <si>
    <t>Operating Assumptions</t>
  </si>
  <si>
    <t>Revenue Growth (Years 1-5)</t>
  </si>
  <si>
    <t>EBIT Margin</t>
  </si>
  <si>
    <t>Tax Rate</t>
  </si>
  <si>
    <t>Depreciation (% of Revenue)</t>
  </si>
  <si>
    <t>CapEx (% of Revenue)</t>
  </si>
  <si>
    <t>Change in NWC (% of Revenue)</t>
  </si>
  <si>
    <t>WACC Assumptions</t>
  </si>
  <si>
    <t>Risk-Free Rate</t>
  </si>
  <si>
    <t>Equity Risk Premium</t>
  </si>
  <si>
    <t>Beta</t>
  </si>
  <si>
    <t>Cost of Debt</t>
  </si>
  <si>
    <t>Target Debt %</t>
  </si>
  <si>
    <t>Target Equity %</t>
  </si>
  <si>
    <t>Terminal Assumptions</t>
  </si>
  <si>
    <t>Terminal Growth Rate</t>
  </si>
  <si>
    <t>0.6</t>
  </si>
  <si>
    <t>4.0%</t>
  </si>
  <si>
    <t>5.5%</t>
  </si>
  <si>
    <t>4.5%</t>
  </si>
  <si>
    <t>2.5%</t>
  </si>
  <si>
    <t>Revenue</t>
  </si>
  <si>
    <t>EBIT (Operating Income)</t>
  </si>
  <si>
    <t>Income Tax Expense</t>
  </si>
  <si>
    <t>Net Income</t>
  </si>
  <si>
    <t>Income Statement</t>
  </si>
  <si>
    <t>Depreciation &amp; Amorisation</t>
  </si>
  <si>
    <t>Change in Net Working Capital</t>
  </si>
  <si>
    <t>CapEx</t>
  </si>
  <si>
    <t>(Figures in USD millions)</t>
  </si>
  <si>
    <t>Coca Cola DCF - Assumptions</t>
  </si>
  <si>
    <t>Historical Financials</t>
  </si>
  <si>
    <t>Cash Flow Items</t>
  </si>
  <si>
    <t>*I will treat CapEx as a postive reinvestment amount in this model, and then subtract it later in the FCF</t>
  </si>
  <si>
    <t>xx</t>
  </si>
  <si>
    <t>% Growth</t>
  </si>
  <si>
    <t>Free Cash Flow</t>
  </si>
  <si>
    <t>NOPAT</t>
  </si>
  <si>
    <t>Free Cash Flow (Historical)</t>
  </si>
  <si>
    <t>Effective Tax Rate</t>
  </si>
  <si>
    <t>Income Before Income Taxes</t>
  </si>
  <si>
    <t>Forecast Financials (2026-2030)</t>
  </si>
  <si>
    <t>EBIT</t>
  </si>
  <si>
    <t>Depreciation &amp; Amortisation</t>
  </si>
  <si>
    <t>Operating Forecast</t>
  </si>
  <si>
    <t>Reinvestment</t>
  </si>
  <si>
    <t>Output</t>
  </si>
  <si>
    <t>*Historical revenue growth averaged 5,5% from 2021-2025; therefore the assumption of 4% makes sense</t>
  </si>
  <si>
    <t>Discount Factor</t>
  </si>
  <si>
    <t>Terminal Value Section</t>
  </si>
  <si>
    <t>Present Value of FCF</t>
  </si>
  <si>
    <t>Terminal Value</t>
  </si>
  <si>
    <t>Present Value of Terminal Value</t>
  </si>
  <si>
    <t>Enterprise Value</t>
  </si>
  <si>
    <t>Less: Net Debt</t>
  </si>
  <si>
    <t>Equity Value</t>
  </si>
  <si>
    <t xml:space="preserve">Shares Outstanding </t>
  </si>
  <si>
    <t>Implied Share Price</t>
  </si>
  <si>
    <t>Valuation Summary</t>
  </si>
  <si>
    <t>PV of Projected Cash Flows</t>
  </si>
  <si>
    <t>Cost of Equity (CAPM)</t>
  </si>
  <si>
    <t>Cost of Equity</t>
  </si>
  <si>
    <t>Pre-tax Cost of Debt</t>
  </si>
  <si>
    <t>After-tax Cost of Debt</t>
  </si>
  <si>
    <t>Capital Structure</t>
  </si>
  <si>
    <t>Market Value of Equity</t>
  </si>
  <si>
    <t>Market Value of Debt</t>
  </si>
  <si>
    <t>Total Capital</t>
  </si>
  <si>
    <t>Final WACC</t>
  </si>
  <si>
    <t>Weight of Equity</t>
  </si>
  <si>
    <t>Weight of Debt</t>
  </si>
  <si>
    <t xml:space="preserve">WACC </t>
  </si>
  <si>
    <t>Formula to find total debt = Current maturities of long term debt + Long-term debt</t>
  </si>
  <si>
    <t>Then to find Net Debt = Total Debt - Cash (Total Cash, Cahs Equivalents and Short-Term Investments)</t>
  </si>
  <si>
    <t>Net Debt = 43,941-13,872=30,069</t>
  </si>
  <si>
    <t>Total Debt = 1,822 + 42,119 = 43,941</t>
  </si>
  <si>
    <t>*Data from the Coca Cola 10K</t>
  </si>
  <si>
    <t>Coca Cola - DCF</t>
  </si>
  <si>
    <t xml:space="preserve">Sensitivity </t>
  </si>
  <si>
    <t>WACC</t>
  </si>
  <si>
    <t>Terminal Growth</t>
  </si>
  <si>
    <t>Inputs</t>
  </si>
  <si>
    <t>Implied Share Price Sensitivity (WACC vs Terminal Growth)</t>
  </si>
  <si>
    <t>*This model was built for educational purposes only and does not constitute investment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</si>
</sst>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"/>
    <numFmt numFmtId="165" formatCode="#.0_);\(#.0\)"/>
    <numFmt numFmtId="166" formatCode="#.##00_);\(##,#00\)"/>
    <numFmt numFmtId="167" formatCode="0.0%"/>
    <numFmt numFmtId="168" formatCode="_-[$$-409]* #,##0.00_ ;_-[$$-409]* \-#,##0.00\ ;_-[$$-409]* &quot;-&quot;??_ ;_-@_ "/>
  </numFmts>
  <fonts count="23" x14ac:knownFonts="1">
    <font>
      <sz val="12"/>
      <color theme="1"/>
      <name val="Aptos Narrow"/>
      <family val="2"/>
      <charset val="238"/>
    </font>
    <font>
      <sz val="12"/>
      <color theme="0"/>
      <name val="Aptos Narrow"/>
      <family val="2"/>
      <charset val="238"/>
    </font>
    <font>
      <b/>
      <sz val="20"/>
      <color theme="1"/>
      <name val="Calibri"/>
      <family val="2"/>
      <charset val="238"/>
    </font>
    <font>
      <b/>
      <sz val="18"/>
      <color theme="1"/>
      <name val="Calibri"/>
      <family val="2"/>
      <charset val="238"/>
    </font>
    <font>
      <sz val="14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i/>
      <sz val="10"/>
      <color theme="1"/>
      <name val="Calibri"/>
      <family val="2"/>
      <charset val="238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sz val="12"/>
      <color theme="1"/>
      <name val="Aptos Narrow"/>
      <family val="2"/>
      <charset val="238"/>
    </font>
    <font>
      <b/>
      <sz val="12"/>
      <color theme="0"/>
      <name val="Aptos Narrow"/>
      <family val="2"/>
      <charset val="238"/>
    </font>
    <font>
      <b/>
      <sz val="16"/>
      <color theme="1"/>
      <name val="Aptos Narrow"/>
      <family val="2"/>
    </font>
    <font>
      <sz val="10"/>
      <color theme="1"/>
      <name val="Aptos Narrow"/>
      <family val="2"/>
      <charset val="238"/>
    </font>
    <font>
      <i/>
      <sz val="12"/>
      <color theme="1"/>
      <name val="Aptos Narrow"/>
      <family val="2"/>
    </font>
    <font>
      <sz val="8"/>
      <color theme="1"/>
      <name val="Aptos Narrow"/>
      <family val="2"/>
      <charset val="238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Calibri"/>
      <family val="2"/>
      <charset val="238"/>
    </font>
    <font>
      <b/>
      <i/>
      <sz val="12"/>
      <color theme="1"/>
      <name val="Aptos Narrow"/>
      <family val="2"/>
    </font>
    <font>
      <sz val="12"/>
      <name val="Aptos Narrow"/>
      <family val="2"/>
    </font>
    <font>
      <b/>
      <sz val="12"/>
      <color theme="7" tint="-0.249977111117893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E2C5"/>
        <bgColor indexed="64"/>
      </patternFill>
    </fill>
    <fill>
      <patternFill patternType="solid">
        <fgColor theme="6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/>
    <xf numFmtId="0" fontId="7" fillId="0" borderId="2" xfId="0" applyFont="1" applyBorder="1"/>
    <xf numFmtId="14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8" fillId="3" borderId="0" xfId="0" applyFont="1" applyFill="1"/>
    <xf numFmtId="0" fontId="0" fillId="4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8" fillId="3" borderId="10" xfId="0" applyFont="1" applyFill="1" applyBorder="1"/>
    <xf numFmtId="0" fontId="9" fillId="3" borderId="11" xfId="0" applyFont="1" applyFill="1" applyBorder="1"/>
    <xf numFmtId="0" fontId="9" fillId="3" borderId="13" xfId="0" applyFont="1" applyFill="1" applyBorder="1"/>
    <xf numFmtId="0" fontId="9" fillId="3" borderId="12" xfId="0" applyFont="1" applyFill="1" applyBorder="1"/>
    <xf numFmtId="9" fontId="0" fillId="0" borderId="8" xfId="0" applyNumberFormat="1" applyBorder="1"/>
    <xf numFmtId="16" fontId="0" fillId="0" borderId="8" xfId="0" applyNumberFormat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12" fillId="0" borderId="18" xfId="0" applyFont="1" applyBorder="1"/>
    <xf numFmtId="0" fontId="0" fillId="0" borderId="19" xfId="0" applyBorder="1"/>
    <xf numFmtId="0" fontId="11" fillId="3" borderId="0" xfId="0" applyFont="1" applyFill="1"/>
    <xf numFmtId="9" fontId="0" fillId="0" borderId="20" xfId="0" applyNumberFormat="1" applyBorder="1"/>
    <xf numFmtId="9" fontId="0" fillId="0" borderId="21" xfId="0" applyNumberFormat="1" applyBorder="1"/>
    <xf numFmtId="9" fontId="0" fillId="0" borderId="22" xfId="0" applyNumberFormat="1" applyBorder="1"/>
    <xf numFmtId="0" fontId="0" fillId="0" borderId="23" xfId="0" applyBorder="1"/>
    <xf numFmtId="0" fontId="0" fillId="0" borderId="20" xfId="0" applyBorder="1" applyAlignment="1">
      <alignment horizontal="right"/>
    </xf>
    <xf numFmtId="16" fontId="0" fillId="0" borderId="21" xfId="0" applyNumberFormat="1" applyBorder="1" applyAlignment="1">
      <alignment horizontal="right"/>
    </xf>
    <xf numFmtId="0" fontId="0" fillId="0" borderId="21" xfId="0" applyBorder="1" applyAlignment="1">
      <alignment horizontal="right"/>
    </xf>
    <xf numFmtId="0" fontId="13" fillId="0" borderId="0" xfId="0" applyFont="1"/>
    <xf numFmtId="164" fontId="0" fillId="0" borderId="0" xfId="0" applyNumberFormat="1"/>
    <xf numFmtId="0" fontId="14" fillId="0" borderId="0" xfId="0" applyFont="1"/>
    <xf numFmtId="9" fontId="14" fillId="0" borderId="0" xfId="1" applyFont="1"/>
    <xf numFmtId="0" fontId="15" fillId="0" borderId="0" xfId="0" applyFont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0" fontId="0" fillId="0" borderId="24" xfId="0" applyBorder="1"/>
    <xf numFmtId="0" fontId="12" fillId="0" borderId="24" xfId="0" applyFont="1" applyBorder="1"/>
    <xf numFmtId="0" fontId="8" fillId="3" borderId="0" xfId="0" applyFont="1" applyFill="1" applyAlignment="1">
      <alignment horizontal="left"/>
    </xf>
    <xf numFmtId="9" fontId="14" fillId="0" borderId="0" xfId="0" applyNumberFormat="1" applyFont="1"/>
    <xf numFmtId="0" fontId="8" fillId="4" borderId="0" xfId="0" applyFont="1" applyFill="1"/>
    <xf numFmtId="10" fontId="0" fillId="0" borderId="0" xfId="0" applyNumberFormat="1"/>
    <xf numFmtId="167" fontId="0" fillId="0" borderId="0" xfId="0" applyNumberFormat="1"/>
    <xf numFmtId="9" fontId="0" fillId="0" borderId="0" xfId="0" applyNumberFormat="1"/>
    <xf numFmtId="0" fontId="0" fillId="0" borderId="25" xfId="0" applyBorder="1"/>
    <xf numFmtId="10" fontId="16" fillId="5" borderId="26" xfId="0" applyNumberFormat="1" applyFont="1" applyFill="1" applyBorder="1"/>
    <xf numFmtId="0" fontId="16" fillId="5" borderId="27" xfId="0" applyFont="1" applyFill="1" applyBorder="1"/>
    <xf numFmtId="1" fontId="8" fillId="3" borderId="0" xfId="0" applyNumberFormat="1" applyFont="1" applyFill="1"/>
    <xf numFmtId="0" fontId="19" fillId="3" borderId="0" xfId="0" applyFont="1" applyFill="1"/>
    <xf numFmtId="2" fontId="0" fillId="0" borderId="0" xfId="0" applyNumberFormat="1"/>
    <xf numFmtId="167" fontId="0" fillId="0" borderId="0" xfId="1" applyNumberFormat="1" applyFont="1"/>
    <xf numFmtId="0" fontId="17" fillId="0" borderId="0" xfId="0" applyFont="1"/>
    <xf numFmtId="168" fontId="16" fillId="0" borderId="30" xfId="0" applyNumberFormat="1" applyFont="1" applyBorder="1" applyAlignment="1">
      <alignment horizontal="left"/>
    </xf>
    <xf numFmtId="0" fontId="16" fillId="0" borderId="30" xfId="0" applyFont="1" applyBorder="1"/>
    <xf numFmtId="167" fontId="16" fillId="0" borderId="33" xfId="0" applyNumberFormat="1" applyFont="1" applyBorder="1"/>
    <xf numFmtId="10" fontId="16" fillId="0" borderId="31" xfId="0" applyNumberFormat="1" applyFont="1" applyBorder="1"/>
    <xf numFmtId="10" fontId="16" fillId="0" borderId="32" xfId="0" applyNumberFormat="1" applyFont="1" applyBorder="1"/>
    <xf numFmtId="10" fontId="16" fillId="0" borderId="27" xfId="0" applyNumberFormat="1" applyFont="1" applyBorder="1"/>
    <xf numFmtId="167" fontId="16" fillId="0" borderId="27" xfId="0" applyNumberFormat="1" applyFont="1" applyBorder="1"/>
    <xf numFmtId="10" fontId="16" fillId="6" borderId="27" xfId="0" applyNumberFormat="1" applyFont="1" applyFill="1" applyBorder="1"/>
    <xf numFmtId="10" fontId="16" fillId="0" borderId="26" xfId="0" applyNumberFormat="1" applyFont="1" applyBorder="1"/>
    <xf numFmtId="10" fontId="16" fillId="6" borderId="31" xfId="1" applyNumberFormat="1" applyFont="1" applyFill="1" applyBorder="1"/>
    <xf numFmtId="0" fontId="18" fillId="0" borderId="0" xfId="0" applyFont="1" applyAlignment="1">
      <alignment horizontal="left" indent="7"/>
    </xf>
    <xf numFmtId="0" fontId="17" fillId="0" borderId="0" xfId="0" applyFont="1" applyAlignment="1">
      <alignment horizontal="left" textRotation="90"/>
    </xf>
    <xf numFmtId="168" fontId="21" fillId="7" borderId="4" xfId="2" applyNumberFormat="1" applyFont="1" applyFill="1" applyBorder="1"/>
    <xf numFmtId="0" fontId="14" fillId="0" borderId="0" xfId="0" applyFont="1" applyAlignment="1">
      <alignment horizontal="left" indent="1"/>
    </xf>
    <xf numFmtId="0" fontId="20" fillId="0" borderId="34" xfId="0" applyFont="1" applyBorder="1"/>
    <xf numFmtId="0" fontId="0" fillId="0" borderId="35" xfId="0" applyBorder="1"/>
    <xf numFmtId="0" fontId="0" fillId="0" borderId="36" xfId="0" applyBorder="1"/>
    <xf numFmtId="10" fontId="0" fillId="0" borderId="37" xfId="0" applyNumberFormat="1" applyBorder="1"/>
    <xf numFmtId="0" fontId="0" fillId="0" borderId="38" xfId="0" applyBorder="1"/>
    <xf numFmtId="167" fontId="0" fillId="0" borderId="39" xfId="1" applyNumberFormat="1" applyFont="1" applyBorder="1"/>
    <xf numFmtId="2" fontId="17" fillId="0" borderId="0" xfId="0" applyNumberFormat="1" applyFont="1"/>
    <xf numFmtId="2" fontId="17" fillId="6" borderId="0" xfId="0" applyNumberFormat="1" applyFont="1" applyFill="1"/>
    <xf numFmtId="2" fontId="17" fillId="0" borderId="4" xfId="0" applyNumberFormat="1" applyFont="1" applyBorder="1"/>
    <xf numFmtId="2" fontId="17" fillId="6" borderId="4" xfId="0" applyNumberFormat="1" applyFont="1" applyFill="1" applyBorder="1"/>
    <xf numFmtId="2" fontId="17" fillId="0" borderId="28" xfId="0" applyNumberFormat="1" applyFont="1" applyBorder="1"/>
    <xf numFmtId="2" fontId="17" fillId="0" borderId="25" xfId="0" applyNumberFormat="1" applyFont="1" applyBorder="1"/>
    <xf numFmtId="2" fontId="17" fillId="6" borderId="25" xfId="0" applyNumberFormat="1" applyFont="1" applyFill="1" applyBorder="1"/>
    <xf numFmtId="2" fontId="17" fillId="0" borderId="29" xfId="0" applyNumberFormat="1" applyFont="1" applyBorder="1"/>
    <xf numFmtId="0" fontId="22" fillId="4" borderId="0" xfId="0" applyFont="1" applyFill="1"/>
    <xf numFmtId="0" fontId="16" fillId="0" borderId="0" xfId="0" applyFont="1"/>
    <xf numFmtId="3" fontId="16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E2C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2</xdr:row>
      <xdr:rowOff>171450</xdr:rowOff>
    </xdr:from>
    <xdr:ext cx="11372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991FEAE-529A-77E7-7CC5-5E80E455DC8B}"/>
            </a:ext>
          </a:extLst>
        </xdr:cNvPr>
        <xdr:cNvSpPr txBox="1"/>
      </xdr:nvSpPr>
      <xdr:spPr>
        <a:xfrm>
          <a:off x="4057650" y="5276850"/>
          <a:ext cx="11372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0</xdr:col>
      <xdr:colOff>161926</xdr:colOff>
      <xdr:row>8</xdr:row>
      <xdr:rowOff>114299</xdr:rowOff>
    </xdr:from>
    <xdr:to>
      <xdr:col>0</xdr:col>
      <xdr:colOff>823914</xdr:colOff>
      <xdr:row>11</xdr:row>
      <xdr:rowOff>166687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0D60A0-3DEF-166C-AC21-2388360CD4AB}"/>
            </a:ext>
          </a:extLst>
        </xdr:cNvPr>
        <xdr:cNvSpPr txBox="1"/>
      </xdr:nvSpPr>
      <xdr:spPr>
        <a:xfrm rot="16200000">
          <a:off x="166688" y="1814512"/>
          <a:ext cx="652463" cy="661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i="1"/>
            <a:t>WACC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E052-25E9-43D5-8121-660B4EB1C521}">
  <dimension ref="A10:S34"/>
  <sheetViews>
    <sheetView showGridLines="0" zoomScaleNormal="100" workbookViewId="0">
      <selection activeCell="C20" sqref="C20"/>
    </sheetView>
  </sheetViews>
  <sheetFormatPr defaultRowHeight="15.75" x14ac:dyDescent="0.25"/>
  <sheetData>
    <row r="10" spans="13:19" ht="26.25" x14ac:dyDescent="0.4">
      <c r="M10" s="1" t="s">
        <v>5</v>
      </c>
      <c r="N10" s="2"/>
      <c r="O10" s="2"/>
      <c r="P10" s="2"/>
      <c r="Q10" s="2"/>
      <c r="R10" s="2"/>
      <c r="S10" s="2"/>
    </row>
    <row r="11" spans="13:19" ht="23.25" x14ac:dyDescent="0.35">
      <c r="M11" s="3" t="s">
        <v>0</v>
      </c>
      <c r="N11" s="2"/>
      <c r="O11" s="2"/>
      <c r="P11" s="2"/>
      <c r="Q11" s="2"/>
      <c r="R11" s="2"/>
      <c r="S11" s="2"/>
    </row>
    <row r="12" spans="13:19" ht="18.75" x14ac:dyDescent="0.3">
      <c r="M12" s="4" t="s">
        <v>1</v>
      </c>
      <c r="N12" s="2"/>
      <c r="O12" s="2"/>
      <c r="P12" s="2"/>
      <c r="Q12" s="2"/>
      <c r="R12" s="2"/>
      <c r="S12" s="2"/>
    </row>
    <row r="13" spans="13:19" x14ac:dyDescent="0.25">
      <c r="M13" s="5"/>
      <c r="N13" s="2"/>
      <c r="O13" s="2"/>
      <c r="P13" s="2"/>
      <c r="Q13" s="2"/>
      <c r="R13" s="2"/>
      <c r="S13" s="2"/>
    </row>
    <row r="14" spans="13:19" x14ac:dyDescent="0.25">
      <c r="M14" s="2"/>
      <c r="N14" s="2"/>
      <c r="O14" s="2"/>
      <c r="P14" s="2"/>
      <c r="Q14" s="2"/>
      <c r="R14" s="2"/>
      <c r="S14" s="2"/>
    </row>
    <row r="15" spans="13:19" x14ac:dyDescent="0.25">
      <c r="M15" s="6" t="s">
        <v>2</v>
      </c>
      <c r="N15" s="2"/>
      <c r="O15" s="2"/>
      <c r="P15" s="2"/>
      <c r="Q15" s="2"/>
      <c r="R15" s="2"/>
      <c r="S15" s="2"/>
    </row>
    <row r="16" spans="13:19" x14ac:dyDescent="0.25">
      <c r="M16" s="6" t="s">
        <v>4</v>
      </c>
      <c r="N16" s="2"/>
      <c r="O16" s="2"/>
      <c r="P16" s="2"/>
      <c r="Q16" s="2"/>
      <c r="R16" s="2"/>
      <c r="S16" s="2"/>
    </row>
    <row r="17" spans="13:19" x14ac:dyDescent="0.25">
      <c r="M17" s="5"/>
      <c r="N17" s="2"/>
      <c r="O17" s="2"/>
      <c r="P17" s="2"/>
      <c r="Q17" s="2"/>
      <c r="R17" s="2"/>
      <c r="S17" s="2"/>
    </row>
    <row r="18" spans="13:19" x14ac:dyDescent="0.25">
      <c r="M18" s="2"/>
      <c r="N18" s="2"/>
      <c r="O18" s="2"/>
      <c r="P18" s="2"/>
      <c r="Q18" s="2"/>
      <c r="R18" s="2"/>
      <c r="S18" s="2"/>
    </row>
    <row r="19" spans="13:19" x14ac:dyDescent="0.25">
      <c r="M19" s="7" t="s">
        <v>3</v>
      </c>
      <c r="N19" s="2"/>
      <c r="O19" s="2"/>
      <c r="P19" s="2"/>
      <c r="Q19" s="2"/>
      <c r="R19" s="2"/>
      <c r="S19" s="2"/>
    </row>
    <row r="34" spans="1:1" x14ac:dyDescent="0.25">
      <c r="A34" s="46" t="s">
        <v>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A033-7DFF-4A5A-9007-CDF4F6B9D27F}">
  <dimension ref="A2:K26"/>
  <sheetViews>
    <sheetView showGridLines="0" zoomScaleNormal="100" workbookViewId="0">
      <selection activeCell="E35" sqref="E35"/>
    </sheetView>
  </sheetViews>
  <sheetFormatPr defaultRowHeight="15.75" x14ac:dyDescent="0.25"/>
  <cols>
    <col min="1" max="1" width="4.375" customWidth="1"/>
    <col min="2" max="2" width="10.125" customWidth="1"/>
  </cols>
  <sheetData>
    <row r="2" spans="1:11" s="8" customFormat="1" ht="21" x14ac:dyDescent="0.35">
      <c r="B2" s="9" t="s">
        <v>42</v>
      </c>
    </row>
    <row r="4" spans="1:11" x14ac:dyDescent="0.25">
      <c r="A4" t="s">
        <v>9</v>
      </c>
      <c r="B4" t="s">
        <v>6</v>
      </c>
      <c r="C4" s="11" t="s">
        <v>8</v>
      </c>
    </row>
    <row r="5" spans="1:11" x14ac:dyDescent="0.25">
      <c r="B5" t="s">
        <v>7</v>
      </c>
      <c r="C5" s="10">
        <v>46076</v>
      </c>
    </row>
    <row r="7" spans="1:11" x14ac:dyDescent="0.25">
      <c r="A7" t="s">
        <v>9</v>
      </c>
      <c r="B7" s="14" t="s">
        <v>11</v>
      </c>
      <c r="C7" s="12"/>
      <c r="D7" s="13"/>
      <c r="E7" s="13"/>
      <c r="F7" s="13"/>
      <c r="G7" s="13"/>
      <c r="H7" s="13"/>
      <c r="I7" s="15"/>
      <c r="J7" s="15"/>
      <c r="K7" s="15"/>
    </row>
    <row r="8" spans="1:11" ht="16.5" thickBot="1" x14ac:dyDescent="0.3"/>
    <row r="9" spans="1:11" ht="16.5" thickBot="1" x14ac:dyDescent="0.3">
      <c r="A9" t="s">
        <v>9</v>
      </c>
      <c r="B9" s="21" t="s">
        <v>12</v>
      </c>
      <c r="C9" s="22"/>
      <c r="D9" s="23"/>
      <c r="E9" s="24"/>
    </row>
    <row r="10" spans="1:11" x14ac:dyDescent="0.25">
      <c r="B10" s="27" t="s">
        <v>13</v>
      </c>
      <c r="C10" s="28"/>
      <c r="D10" s="29"/>
      <c r="E10" s="35">
        <v>0.04</v>
      </c>
    </row>
    <row r="11" spans="1:11" x14ac:dyDescent="0.25">
      <c r="B11" s="17" t="s">
        <v>14</v>
      </c>
      <c r="C11" t="s">
        <v>10</v>
      </c>
      <c r="D11" s="16"/>
      <c r="E11" s="36">
        <v>0.28000000000000003</v>
      </c>
    </row>
    <row r="12" spans="1:11" x14ac:dyDescent="0.25">
      <c r="B12" s="17" t="s">
        <v>15</v>
      </c>
      <c r="D12" s="16"/>
      <c r="E12" s="36">
        <v>0.23</v>
      </c>
    </row>
    <row r="13" spans="1:11" x14ac:dyDescent="0.25">
      <c r="B13" s="17" t="s">
        <v>16</v>
      </c>
      <c r="D13" s="16"/>
      <c r="E13" s="36">
        <v>0.05</v>
      </c>
    </row>
    <row r="14" spans="1:11" x14ac:dyDescent="0.25">
      <c r="B14" s="17" t="s">
        <v>17</v>
      </c>
      <c r="D14" s="16"/>
      <c r="E14" s="36">
        <v>0.06</v>
      </c>
    </row>
    <row r="15" spans="1:11" ht="16.5" thickBot="1" x14ac:dyDescent="0.3">
      <c r="B15" s="38" t="s">
        <v>18</v>
      </c>
      <c r="C15" s="30"/>
      <c r="D15" s="33"/>
      <c r="E15" s="37">
        <v>0.01</v>
      </c>
    </row>
    <row r="16" spans="1:11" ht="16.5" thickBot="1" x14ac:dyDescent="0.3"/>
    <row r="17" spans="1:5" ht="16.5" thickBot="1" x14ac:dyDescent="0.3">
      <c r="A17" t="s">
        <v>9</v>
      </c>
      <c r="B17" s="21" t="s">
        <v>19</v>
      </c>
      <c r="C17" s="22"/>
      <c r="D17" s="23"/>
      <c r="E17" s="24"/>
    </row>
    <row r="18" spans="1:5" x14ac:dyDescent="0.25">
      <c r="B18" s="27" t="s">
        <v>20</v>
      </c>
      <c r="C18" s="28"/>
      <c r="D18" s="29"/>
      <c r="E18" s="39" t="s">
        <v>29</v>
      </c>
    </row>
    <row r="19" spans="1:5" x14ac:dyDescent="0.25">
      <c r="B19" s="17" t="s">
        <v>21</v>
      </c>
      <c r="D19" s="16"/>
      <c r="E19" s="40" t="s">
        <v>30</v>
      </c>
    </row>
    <row r="20" spans="1:5" x14ac:dyDescent="0.25">
      <c r="B20" s="17" t="s">
        <v>22</v>
      </c>
      <c r="D20" s="16"/>
      <c r="E20" s="41" t="s">
        <v>28</v>
      </c>
    </row>
    <row r="21" spans="1:5" x14ac:dyDescent="0.25">
      <c r="B21" s="17" t="s">
        <v>23</v>
      </c>
      <c r="D21" s="16"/>
      <c r="E21" s="40" t="s">
        <v>31</v>
      </c>
    </row>
    <row r="22" spans="1:5" x14ac:dyDescent="0.25">
      <c r="B22" s="17" t="s">
        <v>24</v>
      </c>
      <c r="D22" s="16"/>
      <c r="E22" s="36">
        <v>0.3</v>
      </c>
    </row>
    <row r="23" spans="1:5" ht="16.5" thickBot="1" x14ac:dyDescent="0.3">
      <c r="B23" s="18" t="s">
        <v>25</v>
      </c>
      <c r="C23" s="19"/>
      <c r="D23" s="20"/>
      <c r="E23" s="25">
        <v>0.7</v>
      </c>
    </row>
    <row r="24" spans="1:5" ht="16.5" thickBot="1" x14ac:dyDescent="0.3"/>
    <row r="25" spans="1:5" ht="16.5" thickBot="1" x14ac:dyDescent="0.3">
      <c r="A25" t="s">
        <v>9</v>
      </c>
      <c r="B25" s="21" t="s">
        <v>26</v>
      </c>
      <c r="C25" s="22"/>
      <c r="D25" s="23"/>
      <c r="E25" s="24"/>
    </row>
    <row r="26" spans="1:5" ht="16.5" thickBot="1" x14ac:dyDescent="0.3">
      <c r="B26" s="18" t="s">
        <v>27</v>
      </c>
      <c r="C26" s="19"/>
      <c r="D26" s="20"/>
      <c r="E26" s="26" t="s"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594-3126-4AB0-A504-B25D3545EEB2}">
  <dimension ref="A2:G34"/>
  <sheetViews>
    <sheetView showGridLines="0" zoomScaleNormal="100" workbookViewId="0">
      <selection activeCell="K18" sqref="K18"/>
    </sheetView>
  </sheetViews>
  <sheetFormatPr defaultRowHeight="15.75" x14ac:dyDescent="0.25"/>
  <cols>
    <col min="1" max="1" width="4.125" customWidth="1"/>
    <col min="2" max="2" width="25.875" customWidth="1"/>
    <col min="3" max="7" width="16.625" customWidth="1"/>
    <col min="8" max="9" width="4.875" bestFit="1" customWidth="1"/>
    <col min="10" max="10" width="16.625" customWidth="1"/>
    <col min="11" max="11" width="26.5" customWidth="1"/>
    <col min="12" max="17" width="16.625" customWidth="1"/>
  </cols>
  <sheetData>
    <row r="2" spans="1:7" s="31" customFormat="1" ht="21" x14ac:dyDescent="0.35">
      <c r="B2" s="32" t="s">
        <v>43</v>
      </c>
    </row>
    <row r="4" spans="1:7" x14ac:dyDescent="0.25">
      <c r="B4" s="42" t="s">
        <v>41</v>
      </c>
    </row>
    <row r="5" spans="1:7" x14ac:dyDescent="0.25">
      <c r="A5" t="s">
        <v>9</v>
      </c>
      <c r="B5" s="34" t="s">
        <v>37</v>
      </c>
      <c r="C5" s="63">
        <v>2021</v>
      </c>
      <c r="D5" s="63">
        <f>C5+1</f>
        <v>2022</v>
      </c>
      <c r="E5" s="63">
        <f t="shared" ref="E5" si="0">D5+1</f>
        <v>2023</v>
      </c>
      <c r="F5" s="63">
        <f t="shared" ref="F5" si="1">E5+1</f>
        <v>2024</v>
      </c>
      <c r="G5" s="63">
        <f t="shared" ref="G5" si="2">F5+1</f>
        <v>2025</v>
      </c>
    </row>
    <row r="6" spans="1:7" x14ac:dyDescent="0.25">
      <c r="B6" t="s">
        <v>33</v>
      </c>
      <c r="C6" s="48">
        <v>38655</v>
      </c>
      <c r="D6" s="48">
        <v>43004</v>
      </c>
      <c r="E6" s="48">
        <v>45754</v>
      </c>
      <c r="F6" s="48">
        <v>47061</v>
      </c>
      <c r="G6" s="48">
        <v>47941</v>
      </c>
    </row>
    <row r="7" spans="1:7" x14ac:dyDescent="0.25">
      <c r="B7" s="44" t="s">
        <v>47</v>
      </c>
      <c r="C7" s="49" t="s">
        <v>46</v>
      </c>
      <c r="D7" s="45">
        <f>(D6/C6)-1</f>
        <v>0.11250808433579107</v>
      </c>
      <c r="E7" s="45">
        <f t="shared" ref="E7:G7" si="3">(E6/D6)-1</f>
        <v>6.3947539763743011E-2</v>
      </c>
      <c r="F7" s="45">
        <f t="shared" si="3"/>
        <v>2.8565808453905772E-2</v>
      </c>
      <c r="G7" s="45">
        <f t="shared" si="3"/>
        <v>1.8699135164998548E-2</v>
      </c>
    </row>
    <row r="8" spans="1:7" x14ac:dyDescent="0.25">
      <c r="B8" t="s">
        <v>34</v>
      </c>
      <c r="C8" s="48">
        <v>10308</v>
      </c>
      <c r="D8" s="48">
        <v>10909</v>
      </c>
      <c r="E8" s="48">
        <v>11311</v>
      </c>
      <c r="F8" s="48">
        <v>9992</v>
      </c>
      <c r="G8" s="48">
        <v>13762</v>
      </c>
    </row>
    <row r="9" spans="1:7" x14ac:dyDescent="0.25">
      <c r="B9" s="44" t="s">
        <v>14</v>
      </c>
      <c r="C9" s="45">
        <f>C8/C6</f>
        <v>0.26666666666666666</v>
      </c>
      <c r="D9" s="45">
        <f t="shared" ref="D9:G9" si="4">D8/D6</f>
        <v>0.25367407683006232</v>
      </c>
      <c r="E9" s="45">
        <f t="shared" si="4"/>
        <v>0.24721335839489444</v>
      </c>
      <c r="F9" s="45">
        <f t="shared" si="4"/>
        <v>0.21232018019166612</v>
      </c>
      <c r="G9" s="45">
        <f t="shared" si="4"/>
        <v>0.28706117936630443</v>
      </c>
    </row>
    <row r="10" spans="1:7" x14ac:dyDescent="0.25">
      <c r="B10" t="s">
        <v>52</v>
      </c>
      <c r="C10" s="48">
        <v>12425</v>
      </c>
      <c r="D10" s="48">
        <v>11686</v>
      </c>
      <c r="E10" s="48">
        <v>12925</v>
      </c>
      <c r="F10" s="48">
        <v>13086</v>
      </c>
      <c r="G10" s="48">
        <v>15998</v>
      </c>
    </row>
    <row r="11" spans="1:7" x14ac:dyDescent="0.25">
      <c r="B11" t="s">
        <v>35</v>
      </c>
      <c r="C11" s="48">
        <v>2621</v>
      </c>
      <c r="D11" s="48">
        <v>2115</v>
      </c>
      <c r="E11" s="48">
        <v>2249</v>
      </c>
      <c r="F11" s="48">
        <v>2437</v>
      </c>
      <c r="G11" s="48">
        <v>2861</v>
      </c>
    </row>
    <row r="12" spans="1:7" x14ac:dyDescent="0.25">
      <c r="B12" s="44" t="s">
        <v>51</v>
      </c>
      <c r="C12" s="45">
        <f>C11/C10</f>
        <v>0.21094567404426559</v>
      </c>
      <c r="D12" s="45">
        <f t="shared" ref="D12:G12" si="5">D11/D10</f>
        <v>0.18098579496833819</v>
      </c>
      <c r="E12" s="45">
        <f t="shared" si="5"/>
        <v>0.17400386847195357</v>
      </c>
      <c r="F12" s="45">
        <f t="shared" si="5"/>
        <v>0.18622955830658719</v>
      </c>
      <c r="G12" s="45">
        <f t="shared" si="5"/>
        <v>0.17883485435679461</v>
      </c>
    </row>
    <row r="13" spans="1:7" x14ac:dyDescent="0.25">
      <c r="B13" t="s">
        <v>36</v>
      </c>
      <c r="C13" s="48">
        <v>9771</v>
      </c>
      <c r="D13" s="48">
        <v>9542</v>
      </c>
      <c r="E13" s="48">
        <v>10714</v>
      </c>
      <c r="F13" s="48">
        <v>10631</v>
      </c>
      <c r="G13" s="48">
        <v>13107</v>
      </c>
    </row>
    <row r="16" spans="1:7" x14ac:dyDescent="0.25">
      <c r="A16" t="s">
        <v>9</v>
      </c>
      <c r="B16" s="14" t="s">
        <v>44</v>
      </c>
      <c r="C16" s="14">
        <v>2021</v>
      </c>
      <c r="D16" s="14">
        <f>C16+1</f>
        <v>2022</v>
      </c>
      <c r="E16" s="14">
        <f t="shared" ref="E16:G16" si="6">D16+1</f>
        <v>2023</v>
      </c>
      <c r="F16" s="14">
        <f t="shared" si="6"/>
        <v>2024</v>
      </c>
      <c r="G16" s="14">
        <f t="shared" si="6"/>
        <v>2025</v>
      </c>
    </row>
    <row r="17" spans="1:7" x14ac:dyDescent="0.25">
      <c r="B17" t="s">
        <v>38</v>
      </c>
      <c r="C17" s="48">
        <v>1425</v>
      </c>
      <c r="D17" s="48">
        <v>1260</v>
      </c>
      <c r="E17" s="48">
        <v>1128</v>
      </c>
      <c r="F17" s="48">
        <v>1075</v>
      </c>
      <c r="G17" s="48">
        <v>1050</v>
      </c>
    </row>
    <row r="18" spans="1:7" x14ac:dyDescent="0.25">
      <c r="B18" t="s">
        <v>40</v>
      </c>
      <c r="C18" s="48">
        <v>1367</v>
      </c>
      <c r="D18" s="48">
        <v>1484</v>
      </c>
      <c r="E18" s="48">
        <v>1852</v>
      </c>
      <c r="F18" s="48">
        <v>2064</v>
      </c>
      <c r="G18" s="48">
        <v>2112</v>
      </c>
    </row>
    <row r="19" spans="1:7" x14ac:dyDescent="0.25">
      <c r="B19" t="s">
        <v>39</v>
      </c>
      <c r="C19" s="48">
        <v>1325</v>
      </c>
      <c r="D19" s="50">
        <v>-605</v>
      </c>
      <c r="E19" s="50">
        <v>-846</v>
      </c>
      <c r="F19" s="50">
        <v>-6234</v>
      </c>
      <c r="G19" s="50">
        <v>-7208</v>
      </c>
    </row>
    <row r="22" spans="1:7" x14ac:dyDescent="0.25">
      <c r="A22" t="s">
        <v>9</v>
      </c>
      <c r="B22" s="14" t="s">
        <v>50</v>
      </c>
      <c r="C22" s="62">
        <v>2021</v>
      </c>
      <c r="D22" s="62">
        <f>C22+1</f>
        <v>2022</v>
      </c>
      <c r="E22" s="62">
        <f t="shared" ref="E22:G22" si="7">D22+1</f>
        <v>2023</v>
      </c>
      <c r="F22" s="62">
        <f t="shared" si="7"/>
        <v>2024</v>
      </c>
      <c r="G22" s="62">
        <f t="shared" si="7"/>
        <v>2025</v>
      </c>
    </row>
    <row r="23" spans="1:7" x14ac:dyDescent="0.25">
      <c r="B23" t="s">
        <v>49</v>
      </c>
      <c r="C23" s="48">
        <v>8134</v>
      </c>
      <c r="D23" s="48">
        <v>8935</v>
      </c>
      <c r="E23" s="48">
        <v>9343</v>
      </c>
      <c r="F23" s="48">
        <v>8131</v>
      </c>
      <c r="G23" s="48">
        <v>11301</v>
      </c>
    </row>
    <row r="24" spans="1:7" x14ac:dyDescent="0.25">
      <c r="B24" t="s">
        <v>48</v>
      </c>
      <c r="C24" s="48">
        <f>C23+C17-C18-C19</f>
        <v>6867</v>
      </c>
      <c r="D24" s="48">
        <f t="shared" ref="D24:G24" si="8">D23+D17-D18-D19</f>
        <v>9316</v>
      </c>
      <c r="E24" s="48">
        <f t="shared" si="8"/>
        <v>9465</v>
      </c>
      <c r="F24" s="48">
        <f t="shared" si="8"/>
        <v>13376</v>
      </c>
      <c r="G24" s="48">
        <f t="shared" si="8"/>
        <v>17447</v>
      </c>
    </row>
    <row r="29" spans="1:7" x14ac:dyDescent="0.25">
      <c r="D29" s="43"/>
      <c r="F29" s="47"/>
    </row>
    <row r="33" spans="2:2" x14ac:dyDescent="0.25">
      <c r="B33" s="46" t="s">
        <v>59</v>
      </c>
    </row>
    <row r="34" spans="2:2" x14ac:dyDescent="0.25">
      <c r="B34" s="4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A674-D601-49A2-B743-6808AEF116BF}">
  <dimension ref="A2:BR26"/>
  <sheetViews>
    <sheetView showGridLines="0" topLeftCell="A2" workbookViewId="0">
      <selection activeCell="K13" sqref="K13"/>
    </sheetView>
  </sheetViews>
  <sheetFormatPr defaultRowHeight="15.75" x14ac:dyDescent="0.25"/>
  <cols>
    <col min="1" max="1" width="4.25" customWidth="1"/>
    <col min="2" max="2" width="27" customWidth="1"/>
    <col min="3" max="7" width="16.625" customWidth="1"/>
  </cols>
  <sheetData>
    <row r="2" spans="1:70" s="51" customFormat="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51" customFormat="1" ht="21" x14ac:dyDescent="0.35">
      <c r="B3" s="52" t="s">
        <v>53</v>
      </c>
    </row>
    <row r="5" spans="1:70" x14ac:dyDescent="0.25">
      <c r="B5" s="42" t="s">
        <v>41</v>
      </c>
    </row>
    <row r="6" spans="1:70" x14ac:dyDescent="0.25">
      <c r="A6" t="s">
        <v>9</v>
      </c>
      <c r="B6" s="53" t="s">
        <v>56</v>
      </c>
      <c r="C6" s="14">
        <v>2026</v>
      </c>
      <c r="D6" s="14">
        <f>C6+1</f>
        <v>2027</v>
      </c>
      <c r="E6" s="14">
        <f t="shared" ref="E6:G6" si="0">D6+1</f>
        <v>2028</v>
      </c>
      <c r="F6" s="14">
        <f t="shared" si="0"/>
        <v>2029</v>
      </c>
      <c r="G6" s="14">
        <f t="shared" si="0"/>
        <v>2030</v>
      </c>
    </row>
    <row r="7" spans="1:70" x14ac:dyDescent="0.25">
      <c r="B7" t="s">
        <v>33</v>
      </c>
      <c r="C7" s="48">
        <f>'Historical Financials'!G6*(1+Assumptions!$E$10)</f>
        <v>49858.64</v>
      </c>
      <c r="D7" s="48">
        <f>C7*(1+Assumptions!$E$10)</f>
        <v>51852.9856</v>
      </c>
      <c r="E7" s="48">
        <f>D7*(1+Assumptions!$E$10)</f>
        <v>53927.105024000004</v>
      </c>
      <c r="F7" s="48">
        <f>E7*(1+Assumptions!$E$10)</f>
        <v>56084.189224960006</v>
      </c>
      <c r="G7" s="48">
        <f>F7*(1+Assumptions!$E$10)</f>
        <v>58327.556793958407</v>
      </c>
    </row>
    <row r="8" spans="1:70" x14ac:dyDescent="0.25">
      <c r="B8" s="44" t="s">
        <v>47</v>
      </c>
      <c r="C8" s="54">
        <f>Assumptions!$E$10</f>
        <v>0.04</v>
      </c>
      <c r="D8" s="54">
        <f>Assumptions!$E$10</f>
        <v>0.04</v>
      </c>
      <c r="E8" s="54">
        <f>Assumptions!$E$10</f>
        <v>0.04</v>
      </c>
      <c r="F8" s="54">
        <f>Assumptions!$E$10</f>
        <v>0.04</v>
      </c>
      <c r="G8" s="54">
        <f>Assumptions!$E$10</f>
        <v>0.04</v>
      </c>
    </row>
    <row r="9" spans="1:70" x14ac:dyDescent="0.25">
      <c r="B9" s="44" t="s">
        <v>14</v>
      </c>
      <c r="C9" s="54">
        <f>Assumptions!$E$11</f>
        <v>0.28000000000000003</v>
      </c>
      <c r="D9" s="54">
        <f>Assumptions!$E$11</f>
        <v>0.28000000000000003</v>
      </c>
      <c r="E9" s="54">
        <f>Assumptions!$E$11</f>
        <v>0.28000000000000003</v>
      </c>
      <c r="F9" s="54">
        <f>Assumptions!$E$11</f>
        <v>0.28000000000000003</v>
      </c>
      <c r="G9" s="54">
        <f>Assumptions!$E$11</f>
        <v>0.28000000000000003</v>
      </c>
    </row>
    <row r="10" spans="1:70" x14ac:dyDescent="0.25">
      <c r="B10" t="s">
        <v>54</v>
      </c>
      <c r="C10" s="48">
        <f>C7*C9</f>
        <v>13960.4192</v>
      </c>
      <c r="D10" s="48">
        <f t="shared" ref="D10:G10" si="1">D7*D9</f>
        <v>14518.835968000001</v>
      </c>
      <c r="E10" s="48">
        <f t="shared" si="1"/>
        <v>15099.589406720002</v>
      </c>
      <c r="F10" s="48">
        <f t="shared" si="1"/>
        <v>15703.572982988802</v>
      </c>
      <c r="G10" s="48">
        <f t="shared" si="1"/>
        <v>16331.715902308355</v>
      </c>
    </row>
    <row r="11" spans="1:70" x14ac:dyDescent="0.25">
      <c r="B11" t="s">
        <v>15</v>
      </c>
      <c r="C11" s="54">
        <f>Assumptions!$E$12</f>
        <v>0.23</v>
      </c>
      <c r="D11" s="54">
        <f>Assumptions!$E$12</f>
        <v>0.23</v>
      </c>
      <c r="E11" s="54">
        <f>Assumptions!$E$12</f>
        <v>0.23</v>
      </c>
      <c r="F11" s="54">
        <f>Assumptions!$E$12</f>
        <v>0.23</v>
      </c>
      <c r="G11" s="54">
        <f>Assumptions!$E$12</f>
        <v>0.23</v>
      </c>
    </row>
    <row r="12" spans="1:70" x14ac:dyDescent="0.25">
      <c r="B12" t="s">
        <v>49</v>
      </c>
      <c r="C12" s="48">
        <f>C10*(1-C11)</f>
        <v>10749.522784000001</v>
      </c>
      <c r="D12" s="48">
        <f t="shared" ref="D12:G12" si="2">D10*(1-D11)</f>
        <v>11179.503695360001</v>
      </c>
      <c r="E12" s="48">
        <f t="shared" si="2"/>
        <v>11626.683843174402</v>
      </c>
      <c r="F12" s="48">
        <f t="shared" si="2"/>
        <v>12091.751196901378</v>
      </c>
      <c r="G12" s="48">
        <f t="shared" si="2"/>
        <v>12575.421244777433</v>
      </c>
    </row>
    <row r="15" spans="1:70" x14ac:dyDescent="0.25">
      <c r="A15" t="s">
        <v>9</v>
      </c>
      <c r="B15" s="53" t="s">
        <v>57</v>
      </c>
      <c r="C15" s="14">
        <v>2026</v>
      </c>
      <c r="D15" s="14">
        <f>C15+1</f>
        <v>2027</v>
      </c>
      <c r="E15" s="14">
        <f t="shared" ref="E15:G15" si="3">D15+1</f>
        <v>2028</v>
      </c>
      <c r="F15" s="14">
        <f t="shared" si="3"/>
        <v>2029</v>
      </c>
      <c r="G15" s="14">
        <f t="shared" si="3"/>
        <v>2030</v>
      </c>
    </row>
    <row r="16" spans="1:70" x14ac:dyDescent="0.25">
      <c r="B16" t="s">
        <v>55</v>
      </c>
      <c r="C16" s="48">
        <f>C7*Assumptions!$E$13</f>
        <v>2492.9320000000002</v>
      </c>
      <c r="D16" s="48">
        <f>D7*Assumptions!$E$13</f>
        <v>2592.6492800000001</v>
      </c>
      <c r="E16" s="48">
        <f>E7*Assumptions!$E$13</f>
        <v>2696.3552512000006</v>
      </c>
      <c r="F16" s="48">
        <f>F7*Assumptions!$E$13</f>
        <v>2804.2094612480005</v>
      </c>
      <c r="G16" s="48">
        <f>G7*Assumptions!$E$13</f>
        <v>2916.3778396979205</v>
      </c>
    </row>
    <row r="17" spans="1:7" x14ac:dyDescent="0.25">
      <c r="B17" t="s">
        <v>40</v>
      </c>
      <c r="C17" s="48">
        <f>C7*Assumptions!$E$14</f>
        <v>2991.5183999999999</v>
      </c>
      <c r="D17" s="48">
        <f>D7*Assumptions!$E$14</f>
        <v>3111.1791359999997</v>
      </c>
      <c r="E17" s="48">
        <f>E7*Assumptions!$E$14</f>
        <v>3235.6263014400001</v>
      </c>
      <c r="F17" s="48">
        <f>F7*Assumptions!$E$14</f>
        <v>3365.0513534976003</v>
      </c>
      <c r="G17" s="48">
        <f>G7*Assumptions!$E$14</f>
        <v>3499.6534076375042</v>
      </c>
    </row>
    <row r="18" spans="1:7" x14ac:dyDescent="0.25">
      <c r="B18" t="s">
        <v>39</v>
      </c>
      <c r="C18" s="48">
        <f>C7*Assumptions!$E$15</f>
        <v>498.58640000000003</v>
      </c>
      <c r="D18" s="48">
        <f>D7*Assumptions!$E$15</f>
        <v>518.529856</v>
      </c>
      <c r="E18" s="48">
        <f>E7*Assumptions!$E$15</f>
        <v>539.27105024000002</v>
      </c>
      <c r="F18" s="48">
        <f>F7*Assumptions!$E$15</f>
        <v>560.84189224960005</v>
      </c>
      <c r="G18" s="48">
        <f>G7*Assumptions!$E$15</f>
        <v>583.27556793958411</v>
      </c>
    </row>
    <row r="21" spans="1:7" x14ac:dyDescent="0.25">
      <c r="A21" t="s">
        <v>9</v>
      </c>
      <c r="B21" s="53" t="s">
        <v>58</v>
      </c>
      <c r="C21" s="14">
        <v>2026</v>
      </c>
      <c r="D21" s="14">
        <f>C21+1</f>
        <v>2027</v>
      </c>
      <c r="E21" s="14">
        <f t="shared" ref="E21:G21" si="4">D21+1</f>
        <v>2028</v>
      </c>
      <c r="F21" s="14">
        <f t="shared" si="4"/>
        <v>2029</v>
      </c>
      <c r="G21" s="14">
        <f t="shared" si="4"/>
        <v>2030</v>
      </c>
    </row>
    <row r="22" spans="1:7" x14ac:dyDescent="0.25">
      <c r="B22" t="s">
        <v>48</v>
      </c>
      <c r="C22" s="48">
        <f>C12+C16-C17-C18</f>
        <v>9752.3499840000004</v>
      </c>
      <c r="D22" s="48">
        <f t="shared" ref="D22:G22" si="5">D12+D16-D17-D18</f>
        <v>10142.443983360003</v>
      </c>
      <c r="E22" s="48">
        <f t="shared" si="5"/>
        <v>10548.141742694403</v>
      </c>
      <c r="F22" s="48">
        <f t="shared" si="5"/>
        <v>10970.067412402179</v>
      </c>
      <c r="G22" s="48">
        <f t="shared" si="5"/>
        <v>11408.870108898267</v>
      </c>
    </row>
    <row r="26" spans="1:7" x14ac:dyDescent="0.25">
      <c r="F26" s="5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5C50-4459-4DA0-8D47-BD610D26AB6D}">
  <dimension ref="A2:D26"/>
  <sheetViews>
    <sheetView showGridLines="0" tabSelected="1" workbookViewId="0">
      <selection activeCell="C27" sqref="C27"/>
    </sheetView>
  </sheetViews>
  <sheetFormatPr defaultRowHeight="15.75" x14ac:dyDescent="0.25"/>
  <cols>
    <col min="1" max="1" width="4.625" customWidth="1"/>
    <col min="2" max="2" width="22.75" customWidth="1"/>
    <col min="3" max="3" width="16.75" customWidth="1"/>
    <col min="4" max="6" width="16.625" customWidth="1"/>
  </cols>
  <sheetData>
    <row r="2" spans="1:4" s="51" customFormat="1" ht="21" x14ac:dyDescent="0.35">
      <c r="B2" s="52" t="s">
        <v>83</v>
      </c>
    </row>
    <row r="4" spans="1:4" x14ac:dyDescent="0.25">
      <c r="D4" s="55"/>
    </row>
    <row r="5" spans="1:4" x14ac:dyDescent="0.25">
      <c r="A5" t="s">
        <v>9</v>
      </c>
      <c r="B5" s="14" t="s">
        <v>72</v>
      </c>
      <c r="C5" s="14"/>
    </row>
    <row r="6" spans="1:4" x14ac:dyDescent="0.25">
      <c r="B6" t="s">
        <v>20</v>
      </c>
      <c r="C6" s="57">
        <v>4.2999999999999997E-2</v>
      </c>
    </row>
    <row r="7" spans="1:4" x14ac:dyDescent="0.25">
      <c r="B7" t="s">
        <v>22</v>
      </c>
      <c r="C7">
        <v>0.6</v>
      </c>
    </row>
    <row r="8" spans="1:4" x14ac:dyDescent="0.25">
      <c r="B8" t="s">
        <v>21</v>
      </c>
      <c r="C8" s="56">
        <v>5.5E-2</v>
      </c>
    </row>
    <row r="9" spans="1:4" x14ac:dyDescent="0.25">
      <c r="B9" t="s">
        <v>73</v>
      </c>
      <c r="C9" s="57">
        <f>C6+C7*C8</f>
        <v>7.5999999999999998E-2</v>
      </c>
    </row>
    <row r="12" spans="1:4" x14ac:dyDescent="0.25">
      <c r="A12" t="s">
        <v>9</v>
      </c>
      <c r="B12" s="14" t="s">
        <v>23</v>
      </c>
      <c r="C12" s="14"/>
    </row>
    <row r="13" spans="1:4" x14ac:dyDescent="0.25">
      <c r="B13" t="s">
        <v>74</v>
      </c>
      <c r="C13" s="57">
        <v>0.05</v>
      </c>
    </row>
    <row r="14" spans="1:4" x14ac:dyDescent="0.25">
      <c r="B14" t="s">
        <v>15</v>
      </c>
      <c r="C14" s="58">
        <v>0.23</v>
      </c>
    </row>
    <row r="15" spans="1:4" x14ac:dyDescent="0.25">
      <c r="B15" t="s">
        <v>75</v>
      </c>
      <c r="C15" s="56">
        <f>C13*(1-C14)</f>
        <v>3.8500000000000006E-2</v>
      </c>
    </row>
    <row r="18" spans="1:3" x14ac:dyDescent="0.25">
      <c r="A18" t="s">
        <v>9</v>
      </c>
      <c r="B18" s="14" t="s">
        <v>76</v>
      </c>
      <c r="C18" s="13"/>
    </row>
    <row r="19" spans="1:3" x14ac:dyDescent="0.25">
      <c r="B19" t="s">
        <v>77</v>
      </c>
      <c r="C19" s="58">
        <v>0.8</v>
      </c>
    </row>
    <row r="20" spans="1:3" x14ac:dyDescent="0.25">
      <c r="B20" t="s">
        <v>78</v>
      </c>
      <c r="C20" s="58">
        <v>0.2</v>
      </c>
    </row>
    <row r="21" spans="1:3" x14ac:dyDescent="0.25">
      <c r="B21" t="s">
        <v>79</v>
      </c>
      <c r="C21" s="58">
        <f>C19+C20</f>
        <v>1</v>
      </c>
    </row>
    <row r="22" spans="1:3" x14ac:dyDescent="0.25">
      <c r="B22" t="s">
        <v>81</v>
      </c>
      <c r="C22" s="58">
        <f>C19/C21</f>
        <v>0.8</v>
      </c>
    </row>
    <row r="23" spans="1:3" x14ac:dyDescent="0.25">
      <c r="B23" t="s">
        <v>82</v>
      </c>
      <c r="C23" s="58">
        <f>C20/C21</f>
        <v>0.2</v>
      </c>
    </row>
    <row r="25" spans="1:3" x14ac:dyDescent="0.25">
      <c r="B25" s="59"/>
      <c r="C25" s="59"/>
    </row>
    <row r="26" spans="1:3" x14ac:dyDescent="0.25">
      <c r="A26" s="16" t="s">
        <v>9</v>
      </c>
      <c r="B26" s="61" t="s">
        <v>80</v>
      </c>
      <c r="C26" s="60">
        <f>(C22*C9)+(C23*C15)*(1-C14)</f>
        <v>6.6728999999999997E-2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9A2A-712C-4260-AC3E-FA09E0B1A7EE}">
  <dimension ref="A2:H34"/>
  <sheetViews>
    <sheetView showGridLines="0" workbookViewId="0">
      <selection activeCell="D22" sqref="D22"/>
    </sheetView>
  </sheetViews>
  <sheetFormatPr defaultRowHeight="15.75" x14ac:dyDescent="0.25"/>
  <cols>
    <col min="1" max="1" width="3.625" customWidth="1"/>
    <col min="2" max="2" width="27.75" customWidth="1"/>
    <col min="3" max="3" width="16" customWidth="1"/>
    <col min="4" max="8" width="16.625" customWidth="1"/>
  </cols>
  <sheetData>
    <row r="2" spans="1:8" s="51" customFormat="1" ht="21" x14ac:dyDescent="0.35">
      <c r="B2" s="52" t="s">
        <v>89</v>
      </c>
    </row>
    <row r="4" spans="1:8" x14ac:dyDescent="0.25">
      <c r="B4" s="42" t="s">
        <v>41</v>
      </c>
    </row>
    <row r="5" spans="1:8" x14ac:dyDescent="0.25">
      <c r="A5" t="s">
        <v>9</v>
      </c>
      <c r="B5" s="14" t="s">
        <v>71</v>
      </c>
      <c r="C5" s="14">
        <v>2026</v>
      </c>
      <c r="D5" s="14">
        <f>C5+1</f>
        <v>2027</v>
      </c>
      <c r="E5" s="14">
        <f t="shared" ref="E5:G5" si="0">D5+1</f>
        <v>2028</v>
      </c>
      <c r="F5" s="14">
        <f t="shared" si="0"/>
        <v>2029</v>
      </c>
      <c r="G5" s="14">
        <f t="shared" si="0"/>
        <v>2030</v>
      </c>
      <c r="H5" s="55"/>
    </row>
    <row r="6" spans="1:8" x14ac:dyDescent="0.25">
      <c r="B6" t="s">
        <v>48</v>
      </c>
      <c r="C6" s="48">
        <f>Forecast!C22</f>
        <v>9752.3499840000004</v>
      </c>
      <c r="D6" s="48">
        <f>Forecast!D22</f>
        <v>10142.443983360003</v>
      </c>
      <c r="E6" s="48">
        <f>Forecast!E22</f>
        <v>10548.141742694403</v>
      </c>
      <c r="F6" s="48">
        <f>Forecast!F22</f>
        <v>10970.067412402179</v>
      </c>
      <c r="G6" s="48">
        <f>Forecast!G22</f>
        <v>11408.870108898267</v>
      </c>
    </row>
    <row r="7" spans="1:8" x14ac:dyDescent="0.25">
      <c r="B7" t="s">
        <v>60</v>
      </c>
      <c r="C7" s="43">
        <f>1/(1+WACC!$C$26)</f>
        <v>0.93744521804507042</v>
      </c>
      <c r="D7" s="43">
        <f>C7/(1+WACC!$C$26)</f>
        <v>0.87880353683556967</v>
      </c>
      <c r="E7" s="43">
        <f>D7/(1+WACC!$C$26)</f>
        <v>0.82383017320759966</v>
      </c>
      <c r="F7" s="43">
        <f>E7/(1+WACC!$C$26)</f>
        <v>0.77229565635470643</v>
      </c>
      <c r="G7" s="43">
        <f>F7/(1+WACC!$C$26)</f>
        <v>0.72398486996669853</v>
      </c>
    </row>
    <row r="8" spans="1:8" x14ac:dyDescent="0.25">
      <c r="B8" t="s">
        <v>62</v>
      </c>
      <c r="C8" s="64">
        <f>C6*C7</f>
        <v>9142.2938572027197</v>
      </c>
      <c r="D8" s="64">
        <f t="shared" ref="D8:G8" si="1">D6*D7</f>
        <v>8913.2156447334146</v>
      </c>
      <c r="E8" s="64">
        <f t="shared" si="1"/>
        <v>8689.8774389022419</v>
      </c>
      <c r="F8" s="64">
        <f t="shared" si="1"/>
        <v>8472.1354125165162</v>
      </c>
      <c r="G8" s="64">
        <f t="shared" si="1"/>
        <v>8259.8493422576648</v>
      </c>
    </row>
    <row r="10" spans="1:8" x14ac:dyDescent="0.25">
      <c r="D10" s="55"/>
      <c r="E10" s="55"/>
      <c r="F10" s="55"/>
      <c r="G10" s="55"/>
    </row>
    <row r="11" spans="1:8" x14ac:dyDescent="0.25">
      <c r="A11" t="s">
        <v>9</v>
      </c>
      <c r="B11" s="14" t="s">
        <v>61</v>
      </c>
      <c r="C11" s="14"/>
    </row>
    <row r="12" spans="1:8" x14ac:dyDescent="0.25">
      <c r="B12" t="s">
        <v>27</v>
      </c>
      <c r="C12" s="65">
        <v>2.5000000000000001E-2</v>
      </c>
    </row>
    <row r="13" spans="1:8" x14ac:dyDescent="0.25">
      <c r="B13" t="s">
        <v>63</v>
      </c>
      <c r="C13" s="48">
        <f>G6*(1+'DCF &amp; Sensitivity'!$J$10)/('DCF &amp; Sensitivity'!$J$9-'DCF &amp; Sensitivity'!$J$10)</f>
        <v>280238.96718399011</v>
      </c>
    </row>
    <row r="14" spans="1:8" x14ac:dyDescent="0.25">
      <c r="B14" t="s">
        <v>64</v>
      </c>
      <c r="C14" s="48">
        <f>C13/(1+WACC!C26)^5</f>
        <v>202888.77221630301</v>
      </c>
    </row>
    <row r="16" spans="1:8" x14ac:dyDescent="0.25">
      <c r="E16" s="95"/>
      <c r="F16" s="95"/>
      <c r="G16" s="95"/>
    </row>
    <row r="17" spans="1:6" x14ac:dyDescent="0.25">
      <c r="A17" t="s">
        <v>9</v>
      </c>
      <c r="B17" s="14" t="s">
        <v>70</v>
      </c>
      <c r="C17" s="14"/>
    </row>
    <row r="18" spans="1:6" x14ac:dyDescent="0.25">
      <c r="B18" s="96" t="s">
        <v>65</v>
      </c>
      <c r="C18" s="97">
        <f>SUM(C8:G8)+C14</f>
        <v>246366.14391191557</v>
      </c>
      <c r="D18" s="95"/>
    </row>
    <row r="19" spans="1:6" x14ac:dyDescent="0.25">
      <c r="B19" s="96" t="s">
        <v>66</v>
      </c>
      <c r="C19" s="97">
        <v>30069</v>
      </c>
    </row>
    <row r="20" spans="1:6" x14ac:dyDescent="0.25">
      <c r="B20" s="96" t="s">
        <v>67</v>
      </c>
      <c r="C20" s="97">
        <f>C18-C19</f>
        <v>216297.14391191557</v>
      </c>
    </row>
    <row r="21" spans="1:6" x14ac:dyDescent="0.25">
      <c r="B21" s="96" t="s">
        <v>68</v>
      </c>
      <c r="C21" s="97">
        <v>7040</v>
      </c>
    </row>
    <row r="22" spans="1:6" x14ac:dyDescent="0.25">
      <c r="B22" s="68" t="s">
        <v>69</v>
      </c>
      <c r="C22" s="67">
        <f>C20/C21</f>
        <v>30.724026123851644</v>
      </c>
    </row>
    <row r="30" spans="1:6" x14ac:dyDescent="0.25">
      <c r="B30" s="46" t="s">
        <v>88</v>
      </c>
      <c r="C30" s="46"/>
      <c r="D30" s="46"/>
      <c r="E30" s="46"/>
      <c r="F30" s="46"/>
    </row>
    <row r="31" spans="1:6" x14ac:dyDescent="0.25">
      <c r="B31" s="46" t="s">
        <v>84</v>
      </c>
      <c r="C31" s="46"/>
      <c r="D31" s="46"/>
      <c r="E31" s="46"/>
      <c r="F31" s="46"/>
    </row>
    <row r="32" spans="1:6" x14ac:dyDescent="0.25">
      <c r="B32" s="46" t="s">
        <v>87</v>
      </c>
      <c r="C32" s="46"/>
      <c r="D32" s="46"/>
      <c r="E32" s="46"/>
      <c r="F32" s="46"/>
    </row>
    <row r="33" spans="2:6" x14ac:dyDescent="0.25">
      <c r="B33" s="46" t="s">
        <v>85</v>
      </c>
      <c r="C33" s="46"/>
      <c r="D33" s="46"/>
      <c r="E33" s="46"/>
      <c r="F33" s="46"/>
    </row>
    <row r="34" spans="2:6" x14ac:dyDescent="0.25">
      <c r="B34" s="46" t="s">
        <v>86</v>
      </c>
      <c r="C34" s="46"/>
      <c r="D34" s="46"/>
      <c r="E34" s="46"/>
      <c r="F34" s="4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DC69-EA20-4217-8D4E-2321B61509E3}">
  <dimension ref="A2:J24"/>
  <sheetViews>
    <sheetView showGridLines="0" workbookViewId="0">
      <selection activeCell="C14" sqref="C14"/>
    </sheetView>
  </sheetViews>
  <sheetFormatPr defaultRowHeight="15.75" x14ac:dyDescent="0.25"/>
  <cols>
    <col min="1" max="1" width="5.375" customWidth="1"/>
    <col min="2" max="7" width="12.625" customWidth="1"/>
    <col min="8" max="8" width="7.375" customWidth="1"/>
  </cols>
  <sheetData>
    <row r="2" spans="1:10" s="51" customFormat="1" ht="21" x14ac:dyDescent="0.35">
      <c r="B2" s="52" t="s">
        <v>90</v>
      </c>
    </row>
    <row r="4" spans="1:10" x14ac:dyDescent="0.25">
      <c r="A4" s="66"/>
      <c r="B4" s="66"/>
      <c r="C4" s="66"/>
      <c r="D4" s="66"/>
      <c r="E4" s="66"/>
      <c r="F4" s="66"/>
      <c r="G4" s="66"/>
      <c r="H4" s="66"/>
    </row>
    <row r="5" spans="1:10" ht="18.75" x14ac:dyDescent="0.3">
      <c r="A5" s="66"/>
      <c r="B5" s="77" t="s">
        <v>94</v>
      </c>
      <c r="D5" s="66"/>
      <c r="E5" s="66"/>
      <c r="F5" s="66"/>
      <c r="G5" s="66"/>
      <c r="H5" s="66"/>
    </row>
    <row r="6" spans="1:10" x14ac:dyDescent="0.25">
      <c r="A6" s="66"/>
      <c r="B6" s="66"/>
      <c r="C6" s="66"/>
      <c r="D6" s="66"/>
      <c r="E6" s="66"/>
      <c r="F6" s="66"/>
      <c r="G6" s="66"/>
      <c r="H6" s="66"/>
    </row>
    <row r="7" spans="1:10" ht="16.5" thickBot="1" x14ac:dyDescent="0.3">
      <c r="A7" s="66"/>
      <c r="B7" s="66"/>
      <c r="C7" s="66"/>
      <c r="D7" s="80" t="s">
        <v>27</v>
      </c>
      <c r="E7" s="66"/>
      <c r="F7" s="66"/>
      <c r="G7" s="66"/>
    </row>
    <row r="8" spans="1:10" x14ac:dyDescent="0.25">
      <c r="A8" s="66"/>
      <c r="B8" s="79">
        <f>'Free Cash Flow'!C22</f>
        <v>30.724026123851644</v>
      </c>
      <c r="C8" s="72">
        <v>1.4999999999999999E-2</v>
      </c>
      <c r="D8" s="73">
        <v>0.02</v>
      </c>
      <c r="E8" s="74">
        <v>2.5000000000000001E-2</v>
      </c>
      <c r="F8" s="73">
        <v>0.03</v>
      </c>
      <c r="G8" s="75">
        <v>3.5000000000000003E-2</v>
      </c>
      <c r="I8" s="81" t="s">
        <v>93</v>
      </c>
      <c r="J8" s="82"/>
    </row>
    <row r="9" spans="1:10" x14ac:dyDescent="0.25">
      <c r="A9" s="66"/>
      <c r="B9" s="69">
        <v>0.06</v>
      </c>
      <c r="C9" s="87">
        <f t="dataTable" ref="C9:G13" dt2D="1" dtr="1" r1="J10" r2="J9"/>
        <v>28.368446365827324</v>
      </c>
      <c r="D9" s="87">
        <v>31.823086636815781</v>
      </c>
      <c r="E9" s="88">
        <v>36.264766985229492</v>
      </c>
      <c r="F9" s="87">
        <v>42.18700744978112</v>
      </c>
      <c r="G9" s="89">
        <v>50.478144100153415</v>
      </c>
      <c r="I9" s="83" t="s">
        <v>91</v>
      </c>
      <c r="J9" s="84">
        <f>WACC!C26</f>
        <v>6.6728999999999997E-2</v>
      </c>
    </row>
    <row r="10" spans="1:10" ht="16.5" thickBot="1" x14ac:dyDescent="0.3">
      <c r="A10" s="66"/>
      <c r="B10" s="70">
        <v>6.5000000000000002E-2</v>
      </c>
      <c r="C10" s="87">
        <v>25.722061554466357</v>
      </c>
      <c r="D10" s="87">
        <v>28.49881014963821</v>
      </c>
      <c r="E10" s="88">
        <v>31.969745893603019</v>
      </c>
      <c r="F10" s="87">
        <v>36.432377564414914</v>
      </c>
      <c r="G10" s="89">
        <v>42.382553125497452</v>
      </c>
      <c r="I10" s="85" t="s">
        <v>92</v>
      </c>
      <c r="J10" s="86">
        <f>'Free Cash Flow'!C12</f>
        <v>2.5000000000000001E-2</v>
      </c>
    </row>
    <row r="11" spans="1:10" x14ac:dyDescent="0.25">
      <c r="A11" s="78"/>
      <c r="B11" s="76">
        <v>6.6699999999999995E-2</v>
      </c>
      <c r="C11" s="88">
        <v>24.938895449750255</v>
      </c>
      <c r="D11" s="88">
        <v>27.530712500267448</v>
      </c>
      <c r="E11" s="88">
        <v>30.744068411819924</v>
      </c>
      <c r="F11" s="88">
        <v>34.832998141234121</v>
      </c>
      <c r="G11" s="90">
        <v>40.211811066047126</v>
      </c>
    </row>
    <row r="12" spans="1:10" x14ac:dyDescent="0.25">
      <c r="A12" s="66"/>
      <c r="B12" s="70">
        <v>7.4999999999999997E-2</v>
      </c>
      <c r="C12" s="87">
        <v>21.752484337424914</v>
      </c>
      <c r="D12" s="87">
        <v>23.663498895561759</v>
      </c>
      <c r="E12" s="88">
        <v>25.956716365325953</v>
      </c>
      <c r="F12" s="87">
        <v>28.759537717259978</v>
      </c>
      <c r="G12" s="89">
        <v>32.263064407177517</v>
      </c>
      <c r="H12" s="66"/>
    </row>
    <row r="13" spans="1:10" x14ac:dyDescent="0.25">
      <c r="A13" s="66"/>
      <c r="B13" s="71">
        <v>0.08</v>
      </c>
      <c r="C13" s="91">
        <v>20.225723869332054</v>
      </c>
      <c r="D13" s="92">
        <v>21.850257175283083</v>
      </c>
      <c r="E13" s="93">
        <v>23.7701601732252</v>
      </c>
      <c r="F13" s="92">
        <v>26.07404377075575</v>
      </c>
      <c r="G13" s="94">
        <v>28.889901501070863</v>
      </c>
      <c r="H13" s="66"/>
    </row>
    <row r="14" spans="1:10" x14ac:dyDescent="0.25">
      <c r="A14" s="66"/>
      <c r="B14" s="66"/>
      <c r="C14" s="66"/>
      <c r="D14" s="66"/>
      <c r="E14" s="66"/>
      <c r="F14" s="66"/>
      <c r="G14" s="66"/>
      <c r="H14" s="66"/>
    </row>
    <row r="15" spans="1:10" x14ac:dyDescent="0.25">
      <c r="A15" s="66"/>
      <c r="B15" s="66"/>
      <c r="C15" s="66"/>
      <c r="D15" s="66"/>
      <c r="E15" s="66"/>
      <c r="F15" s="66"/>
      <c r="G15" s="66"/>
      <c r="H15" s="66"/>
    </row>
    <row r="17" spans="1:9" x14ac:dyDescent="0.25">
      <c r="B17" s="66"/>
      <c r="C17" s="66"/>
      <c r="D17" s="66"/>
      <c r="E17" s="66"/>
      <c r="F17" s="66"/>
      <c r="G17" s="66"/>
      <c r="H17" s="66"/>
      <c r="I17" s="66"/>
    </row>
    <row r="18" spans="1:9" x14ac:dyDescent="0.25">
      <c r="A18" s="66"/>
      <c r="B18" s="66"/>
      <c r="C18" s="66"/>
      <c r="D18" s="66"/>
      <c r="E18" s="66"/>
    </row>
    <row r="24" spans="1:9" x14ac:dyDescent="0.25">
      <c r="A24" s="66"/>
      <c r="B24" s="66"/>
      <c r="C24" s="66"/>
      <c r="D24" s="66"/>
    </row>
  </sheetData>
  <dataConsolidate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91b951-ef1e-4cf5-aa2d-a140000e2f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B32B0F555FE0439A40646AB54314CE" ma:contentTypeVersion="5" ma:contentTypeDescription="Create a new document." ma:contentTypeScope="" ma:versionID="a4d8b56c6b26bde0f71569192e049f1f">
  <xsd:schema xmlns:xsd="http://www.w3.org/2001/XMLSchema" xmlns:xs="http://www.w3.org/2001/XMLSchema" xmlns:p="http://schemas.microsoft.com/office/2006/metadata/properties" xmlns:ns3="3091b951-ef1e-4cf5-aa2d-a140000e2f2a" targetNamespace="http://schemas.microsoft.com/office/2006/metadata/properties" ma:root="true" ma:fieldsID="0ec91ecc42976f573f04af535e0c1e81" ns3:_="">
    <xsd:import namespace="3091b951-ef1e-4cf5-aa2d-a140000e2f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1b951-ef1e-4cf5-aa2d-a140000e2f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6739D4-00EC-4E9E-84FB-CA7EF320D9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334DA6-6AE1-4483-BFAA-F9FAA53EF73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3091b951-ef1e-4cf5-aa2d-a140000e2f2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D62C5E2-B251-4EC0-86B5-391D78EFB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1b951-ef1e-4cf5-aa2d-a140000e2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Historical Financials</vt:lpstr>
      <vt:lpstr>Forecast</vt:lpstr>
      <vt:lpstr>WACC</vt:lpstr>
      <vt:lpstr>Free Cash Flow</vt:lpstr>
      <vt:lpstr>DCF &amp;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cp:lastPrinted>2026-02-24T18:07:26Z</cp:lastPrinted>
  <dcterms:created xsi:type="dcterms:W3CDTF">2026-02-22T18:01:47Z</dcterms:created>
  <dcterms:modified xsi:type="dcterms:W3CDTF">2026-03-06T20:05:59Z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0x010100D9B32B0F555FE0439A40646AB54314CE</vt:lpwstr>
  </property>
</Properties>
</file>