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ko\Desktop\IB Work\"/>
    </mc:Choice>
  </mc:AlternateContent>
  <xr:revisionPtr revIDLastSave="0" documentId="13_ncr:1_{4D8DA783-B345-444E-892F-FB614AD39D13}" xr6:coauthVersionLast="47" xr6:coauthVersionMax="47" xr10:uidLastSave="{00000000-0000-0000-0000-000000000000}"/>
  <bookViews>
    <workbookView xWindow="-120" yWindow="-120" windowWidth="29040" windowHeight="15840" activeTab="1" xr2:uid="{3D031D95-1FCA-4520-9B59-600B1CCC6583}"/>
  </bookViews>
  <sheets>
    <sheet name="DCF" sheetId="1" r:id="rId1"/>
    <sheet name="WACC" sheetId="3" r:id="rId2"/>
  </sheets>
  <externalReferences>
    <externalReference r:id="rId3"/>
  </externalReferences>
  <definedNames>
    <definedName name="tgr">DCF!$E$18</definedName>
    <definedName name="wacc">DCF!$E$17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2" i="1" l="1"/>
  <c r="K71" i="1" s="1"/>
  <c r="L71" i="1" s="1"/>
  <c r="M71" i="1" s="1"/>
  <c r="N71" i="1" s="1"/>
  <c r="E18" i="1"/>
  <c r="J17" i="1"/>
  <c r="O17" i="1"/>
  <c r="E17" i="1" s="1"/>
  <c r="E8" i="3"/>
  <c r="E18" i="3"/>
  <c r="E7" i="3" s="1"/>
  <c r="E6" i="3"/>
  <c r="E13" i="3"/>
  <c r="E66" i="1"/>
  <c r="E65" i="1"/>
  <c r="K55" i="1"/>
  <c r="L55" i="1" s="1"/>
  <c r="M55" i="1" l="1"/>
  <c r="N55" i="1" s="1"/>
  <c r="T17" i="1"/>
  <c r="J71" i="1"/>
  <c r="E12" i="3"/>
  <c r="E20" i="3" s="1"/>
  <c r="N52" i="1" l="1"/>
  <c r="N50" i="1"/>
  <c r="N51" i="1"/>
  <c r="N49" i="1" s="1"/>
  <c r="J51" i="1"/>
  <c r="J50" i="1" s="1"/>
  <c r="K50" i="1" s="1"/>
  <c r="L50" i="1" s="1"/>
  <c r="M50" i="1" s="1"/>
  <c r="N43" i="1"/>
  <c r="J43" i="1"/>
  <c r="N46" i="1"/>
  <c r="N44" i="1"/>
  <c r="J46" i="1"/>
  <c r="K46" i="1" s="1"/>
  <c r="J44" i="1"/>
  <c r="K44" i="1" s="1"/>
  <c r="L44" i="1" s="1"/>
  <c r="M44" i="1" s="1"/>
  <c r="K45" i="1"/>
  <c r="L45" i="1" s="1"/>
  <c r="M45" i="1" s="1"/>
  <c r="N45" i="1"/>
  <c r="J45" i="1"/>
  <c r="E43" i="1"/>
  <c r="E24" i="1"/>
  <c r="F24" i="1"/>
  <c r="G24" i="1"/>
  <c r="H24" i="1"/>
  <c r="I24" i="1"/>
  <c r="G38" i="1"/>
  <c r="G65" i="1" s="1"/>
  <c r="H38" i="1"/>
  <c r="H65" i="1" s="1"/>
  <c r="I38" i="1"/>
  <c r="I65" i="1" s="1"/>
  <c r="F38" i="1"/>
  <c r="F65" i="1" s="1"/>
  <c r="F34" i="1"/>
  <c r="F62" i="1" s="1"/>
  <c r="G34" i="1"/>
  <c r="G62" i="1" s="1"/>
  <c r="H34" i="1"/>
  <c r="H62" i="1" s="1"/>
  <c r="I34" i="1"/>
  <c r="I62" i="1" s="1"/>
  <c r="E34" i="1"/>
  <c r="E62" i="1" s="1"/>
  <c r="F31" i="1"/>
  <c r="F59" i="1" s="1"/>
  <c r="G31" i="1"/>
  <c r="G59" i="1" s="1"/>
  <c r="H31" i="1"/>
  <c r="H59" i="1" s="1"/>
  <c r="I31" i="1"/>
  <c r="I59" i="1" s="1"/>
  <c r="E31" i="1"/>
  <c r="E59" i="1" s="1"/>
  <c r="F27" i="1"/>
  <c r="G27" i="1"/>
  <c r="H27" i="1"/>
  <c r="I27" i="1"/>
  <c r="E27" i="1"/>
  <c r="L46" i="1" l="1"/>
  <c r="K43" i="1"/>
  <c r="J49" i="1"/>
  <c r="J52" i="1"/>
  <c r="K52" i="1" s="1"/>
  <c r="L52" i="1" s="1"/>
  <c r="M52" i="1" s="1"/>
  <c r="K51" i="1"/>
  <c r="G28" i="1"/>
  <c r="H28" i="1"/>
  <c r="F21" i="1"/>
  <c r="G21" i="1"/>
  <c r="H21" i="1"/>
  <c r="I21" i="1"/>
  <c r="I42" i="1" s="1"/>
  <c r="J42" i="1" s="1"/>
  <c r="E21" i="1"/>
  <c r="E42" i="1" s="1"/>
  <c r="J65" i="1" l="1"/>
  <c r="J59" i="1"/>
  <c r="J48" i="1"/>
  <c r="K42" i="1"/>
  <c r="K49" i="1"/>
  <c r="L51" i="1"/>
  <c r="M46" i="1"/>
  <c r="M43" i="1" s="1"/>
  <c r="L43" i="1"/>
  <c r="K59" i="1"/>
  <c r="K65" i="1"/>
  <c r="J54" i="1"/>
  <c r="J57" i="1" s="1"/>
  <c r="H32" i="1"/>
  <c r="H60" i="1" s="1"/>
  <c r="H42" i="1"/>
  <c r="H25" i="1"/>
  <c r="H39" i="1"/>
  <c r="H66" i="1" s="1"/>
  <c r="G35" i="1"/>
  <c r="G63" i="1" s="1"/>
  <c r="G25" i="1"/>
  <c r="G42" i="1"/>
  <c r="G39" i="1"/>
  <c r="G66" i="1" s="1"/>
  <c r="I22" i="1"/>
  <c r="I43" i="1" s="1"/>
  <c r="I39" i="1"/>
  <c r="I66" i="1" s="1"/>
  <c r="I25" i="1"/>
  <c r="F32" i="1"/>
  <c r="F60" i="1" s="1"/>
  <c r="F39" i="1"/>
  <c r="F66" i="1" s="1"/>
  <c r="F42" i="1"/>
  <c r="E25" i="1"/>
  <c r="F25" i="1"/>
  <c r="F28" i="1"/>
  <c r="H35" i="1"/>
  <c r="H63" i="1" s="1"/>
  <c r="H22" i="1"/>
  <c r="H43" i="1" s="1"/>
  <c r="G32" i="1"/>
  <c r="G60" i="1" s="1"/>
  <c r="G22" i="1"/>
  <c r="G43" i="1" s="1"/>
  <c r="I28" i="1"/>
  <c r="E28" i="1"/>
  <c r="E32" i="1"/>
  <c r="E60" i="1" s="1"/>
  <c r="E35" i="1"/>
  <c r="E63" i="1" s="1"/>
  <c r="F22" i="1"/>
  <c r="F43" i="1" s="1"/>
  <c r="I32" i="1"/>
  <c r="I60" i="1" s="1"/>
  <c r="I35" i="1"/>
  <c r="I63" i="1" s="1"/>
  <c r="F35" i="1"/>
  <c r="F63" i="1" s="1"/>
  <c r="L49" i="1" l="1"/>
  <c r="M51" i="1"/>
  <c r="M49" i="1" s="1"/>
  <c r="J63" i="1"/>
  <c r="K48" i="1"/>
  <c r="L42" i="1"/>
  <c r="L59" i="1"/>
  <c r="L65" i="1"/>
  <c r="K54" i="1"/>
  <c r="K57" i="1" s="1"/>
  <c r="M42" i="1"/>
  <c r="L48" i="1"/>
  <c r="F41" i="1"/>
  <c r="G41" i="1" s="1"/>
  <c r="H41" i="1" s="1"/>
  <c r="I41" i="1" s="1"/>
  <c r="F30" i="1"/>
  <c r="G30" i="1" s="1"/>
  <c r="H30" i="1" s="1"/>
  <c r="I30" i="1" s="1"/>
  <c r="J30" i="1" s="1"/>
  <c r="K30" i="1" s="1"/>
  <c r="L30" i="1" s="1"/>
  <c r="M30" i="1" s="1"/>
  <c r="N30" i="1" s="1"/>
  <c r="F20" i="1"/>
  <c r="G20" i="1" s="1"/>
  <c r="H20" i="1" s="1"/>
  <c r="I20" i="1" s="1"/>
  <c r="J20" i="1" s="1"/>
  <c r="K20" i="1" s="1"/>
  <c r="L20" i="1" s="1"/>
  <c r="M20" i="1" s="1"/>
  <c r="N20" i="1" s="1"/>
  <c r="K63" i="1" l="1"/>
  <c r="J62" i="1"/>
  <c r="J68" i="1" s="1"/>
  <c r="J69" i="1" s="1"/>
  <c r="J41" i="1"/>
  <c r="K41" i="1" s="1"/>
  <c r="L41" i="1" s="1"/>
  <c r="M41" i="1" s="1"/>
  <c r="N41" i="1" s="1"/>
  <c r="M59" i="1"/>
  <c r="M65" i="1"/>
  <c r="L54" i="1"/>
  <c r="L57" i="1" s="1"/>
  <c r="N42" i="1"/>
  <c r="M48" i="1"/>
  <c r="L63" i="1" l="1"/>
  <c r="K62" i="1"/>
  <c r="K68" i="1" s="1"/>
  <c r="K69" i="1" s="1"/>
  <c r="N65" i="1"/>
  <c r="N48" i="1"/>
  <c r="N54" i="1" s="1"/>
  <c r="N57" i="1" s="1"/>
  <c r="N59" i="1"/>
  <c r="M54" i="1"/>
  <c r="M57" i="1" s="1"/>
  <c r="M63" i="1" l="1"/>
  <c r="L62" i="1"/>
  <c r="L68" i="1" s="1"/>
  <c r="L69" i="1" s="1"/>
  <c r="N63" i="1" l="1"/>
  <c r="N62" i="1" s="1"/>
  <c r="N68" i="1" s="1"/>
  <c r="N74" i="1" s="1"/>
  <c r="N75" i="1" s="1"/>
  <c r="M62" i="1"/>
  <c r="M68" i="1" s="1"/>
  <c r="M69" i="1" s="1"/>
  <c r="N69" i="1"/>
  <c r="N77" i="1" s="1"/>
  <c r="N80" i="1" s="1"/>
  <c r="N82" i="1" s="1"/>
  <c r="H4" i="1" l="1"/>
  <c r="H6" i="1" s="1"/>
  <c r="C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Môj PC</author>
  </authors>
  <commentList>
    <comment ref="B10" authorId="0" shapeId="0" xr:uid="{F5A88EEE-731B-498C-BA00-F9398255E55E}">
      <text>
        <r>
          <rPr>
            <b/>
            <sz val="9"/>
            <color indexed="81"/>
            <rFont val="Tahoma"/>
            <family val="2"/>
            <charset val="238"/>
          </rPr>
          <t xml:space="preserve">Simonko:
</t>
        </r>
        <r>
          <rPr>
            <sz val="9"/>
            <color indexed="81"/>
            <rFont val="Tahoma"/>
            <family val="2"/>
            <charset val="238"/>
          </rPr>
          <t xml:space="preserve">Conservative Case = 1
Base Case = 2
Optimistic Case = 3
</t>
        </r>
      </text>
    </comment>
    <comment ref="E21" authorId="0" shapeId="0" xr:uid="{6AF511C0-367D-40ED-8F39-24EECE1026C6}">
      <text>
        <r>
          <rPr>
            <b/>
            <sz val="9"/>
            <color indexed="81"/>
            <rFont val="Tahoma"/>
            <family val="2"/>
            <charset val="238"/>
          </rPr>
          <t xml:space="preserve">Simonko:
All historicals taken from Coca Cola 10K
2025-2024:
</t>
        </r>
        <r>
          <rPr>
            <sz val="9"/>
            <color indexed="81"/>
            <rFont val="Tahoma"/>
            <family val="2"/>
            <charset val="238"/>
          </rPr>
          <t xml:space="preserve">https://investors.coca-colacompany.com/filings-reports/all-sec-filings/content/0001628280-26-010047/ko-20251231.htm#ia2cb76fa2c6c4a82a91d7a0d2310cb54_127
</t>
        </r>
        <r>
          <rPr>
            <b/>
            <sz val="9"/>
            <color indexed="81"/>
            <rFont val="Tahoma"/>
            <family val="2"/>
            <charset val="238"/>
          </rPr>
          <t>2023-2022:</t>
        </r>
        <r>
          <rPr>
            <sz val="9"/>
            <color indexed="81"/>
            <rFont val="Tahoma"/>
            <family val="2"/>
            <charset val="238"/>
          </rPr>
          <t xml:space="preserve">
https://investors.coca-colacompany.com/filings-reports/all-sec-filings/content/0000021344-23-000011/ko-20221231.htm
</t>
        </r>
        <r>
          <rPr>
            <b/>
            <sz val="9"/>
            <color indexed="81"/>
            <rFont val="Tahoma"/>
            <family val="2"/>
            <charset val="238"/>
          </rPr>
          <t xml:space="preserve">2021:
</t>
        </r>
        <r>
          <rPr>
            <sz val="9"/>
            <color indexed="81"/>
            <rFont val="Tahoma"/>
            <family val="2"/>
            <charset val="238"/>
          </rPr>
          <t>https://investors.coca-colacompany.com/filings-reports/all-sec-filings/content/0000021344-21-000008/ko-20201231.htm</t>
        </r>
        <r>
          <rPr>
            <b/>
            <sz val="9"/>
            <color indexed="81"/>
            <rFont val="Tahoma"/>
            <family val="2"/>
            <charset val="238"/>
          </rPr>
          <t xml:space="preserve">
</t>
        </r>
      </text>
    </comment>
    <comment ref="N78" authorId="0" shapeId="0" xr:uid="{EC2D9533-8290-4106-B623-39E9382AE30E}">
      <text>
        <r>
          <rPr>
            <b/>
            <sz val="9"/>
            <color indexed="81"/>
            <rFont val="Tahoma"/>
            <family val="2"/>
            <charset val="238"/>
          </rPr>
          <t xml:space="preserve">Simonko: 
</t>
        </r>
        <r>
          <rPr>
            <sz val="9"/>
            <color indexed="81"/>
            <rFont val="Tahoma"/>
            <family val="2"/>
            <charset val="238"/>
          </rPr>
          <t>From 10K Balance Sheet
https://investors.coca-colacompany.com/filings-reports/all-sec-filings/content/0001628280-26-010047/ko-20251231.htm#ia2cb76fa2c6c4a82a91d7a0d2310cb54_127</t>
        </r>
      </text>
    </comment>
    <comment ref="N79" authorId="0" shapeId="0" xr:uid="{F145ABF3-B04F-4168-AE01-DED1B9C2857E}">
      <text>
        <r>
          <rPr>
            <b/>
            <sz val="9"/>
            <color indexed="81"/>
            <rFont val="Tahoma"/>
            <family val="2"/>
            <charset val="238"/>
          </rPr>
          <t xml:space="preserve">Simonko:
</t>
        </r>
        <r>
          <rPr>
            <sz val="9"/>
            <color indexed="81"/>
            <rFont val="Tahoma"/>
            <family val="2"/>
            <charset val="238"/>
          </rPr>
          <t xml:space="preserve">From 10K Balance Sheet
</t>
        </r>
      </text>
    </comment>
    <comment ref="N81" authorId="0" shapeId="0" xr:uid="{08B7F8F0-812C-4ED7-A0FC-2DC79CD85AA2}">
      <text>
        <r>
          <rPr>
            <b/>
            <sz val="9"/>
            <color indexed="81"/>
            <rFont val="Tahoma"/>
            <family val="2"/>
            <charset val="238"/>
          </rPr>
          <t xml:space="preserve">Simonko:
</t>
        </r>
        <r>
          <rPr>
            <sz val="9"/>
            <color indexed="81"/>
            <rFont val="Tahoma"/>
            <family val="2"/>
            <charset val="238"/>
          </rPr>
          <t>From the 10K in the Consolidated Statements of Income instead of the basic share count found on the Balance Sheet.
https://investors.coca-colacompany.com/filings-reports/all-sec-filings/content/0001628280-26-010047/ko-20251231.htm#ia2cb76fa2c6c4a82a91d7a0d2310cb54_127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Môj PC</author>
  </authors>
  <commentList>
    <comment ref="E6" authorId="0" shapeId="0" xr:uid="{4AF91534-0614-4E78-B9A4-C16049BC1364}">
      <text>
        <r>
          <rPr>
            <b/>
            <sz val="9"/>
            <color indexed="81"/>
            <rFont val="Tahoma"/>
            <family val="2"/>
            <charset val="238"/>
          </rPr>
          <t>Simonko:</t>
        </r>
        <r>
          <rPr>
            <sz val="9"/>
            <color indexed="81"/>
            <rFont val="Tahoma"/>
            <family val="2"/>
            <charset val="238"/>
          </rPr>
          <t xml:space="preserve">
Using Net Debt calculated from Balance Sheet
Gross Debt Total - Total Cash &amp; Liquid Assets
https://investors.coca-colacompany.com/filings-reports/all-sec-filings/content/0001628280-26-010047/ko-20251231.htm#ia2cb76fa2c6c4a82a91d7a0d2310cb54_127
pg. 63
</t>
        </r>
        <r>
          <rPr>
            <b/>
            <sz val="9"/>
            <color indexed="81"/>
            <rFont val="Tahoma"/>
            <family val="2"/>
            <charset val="238"/>
          </rPr>
          <t xml:space="preserve">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E8" authorId="0" shapeId="0" xr:uid="{A8C11807-3D46-4E31-B656-398D08CB14BF}">
      <text>
        <r>
          <rPr>
            <b/>
            <sz val="9"/>
            <color indexed="81"/>
            <rFont val="Tahoma"/>
            <family val="2"/>
            <charset val="238"/>
          </rPr>
          <t xml:space="preserve">Simonko:
</t>
        </r>
        <r>
          <rPr>
            <sz val="9"/>
            <color indexed="81"/>
            <rFont val="Tahoma"/>
            <family val="2"/>
            <charset val="238"/>
          </rPr>
          <t xml:space="preserve">Used the popularised approach by Damodaran by calculating what it would cost the company to issue new debt today based on their credit rating.
Rating from S&amp;P and Moody's: A+ so that gives a rough default spread of around 1.15% over risk free government bonds
Formula is Risk Free Rate + Default Spread
</t>
        </r>
      </text>
    </comment>
    <comment ref="E9" authorId="0" shapeId="0" xr:uid="{A85D2192-B464-4B2A-826C-03E497FC0276}">
      <text>
        <r>
          <rPr>
            <b/>
            <sz val="9"/>
            <color indexed="81"/>
            <rFont val="Tahoma"/>
            <family val="2"/>
            <charset val="238"/>
          </rPr>
          <t>Simonko:</t>
        </r>
        <r>
          <rPr>
            <sz val="9"/>
            <color indexed="81"/>
            <rFont val="Tahoma"/>
            <family val="2"/>
            <charset val="238"/>
          </rPr>
          <t xml:space="preserve">
Standard U.S statutory corporate tax projections</t>
        </r>
      </text>
    </comment>
    <comment ref="E14" authorId="0" shapeId="0" xr:uid="{82901789-CFF6-4A7C-A1A6-37F8DB5A6FDF}">
      <text>
        <r>
          <rPr>
            <b/>
            <sz val="9"/>
            <color indexed="81"/>
            <rFont val="Tahoma"/>
            <family val="2"/>
            <charset val="238"/>
          </rPr>
          <t xml:space="preserve">Simonko:
</t>
        </r>
        <r>
          <rPr>
            <sz val="9"/>
            <color indexed="81"/>
            <rFont val="Tahoma"/>
            <family val="2"/>
            <charset val="238"/>
          </rPr>
          <t xml:space="preserve">Damodaran RFR
</t>
        </r>
      </text>
    </comment>
    <comment ref="E15" authorId="0" shapeId="0" xr:uid="{BE46DE36-3B76-4E20-9A7C-AAB9A0F6F3E6}">
      <text>
        <r>
          <rPr>
            <b/>
            <sz val="9"/>
            <color indexed="81"/>
            <rFont val="Tahoma"/>
            <family val="2"/>
            <charset val="238"/>
          </rPr>
          <t xml:space="preserve">Simonko:
</t>
        </r>
        <r>
          <rPr>
            <sz val="9"/>
            <color indexed="81"/>
            <rFont val="Tahoma"/>
            <family val="2"/>
            <charset val="238"/>
          </rPr>
          <t xml:space="preserve">Damodaran ERP
</t>
        </r>
      </text>
    </comment>
    <comment ref="E16" authorId="0" shapeId="0" xr:uid="{C2155899-FF9B-4015-A15B-4328A428AE05}">
      <text>
        <r>
          <rPr>
            <b/>
            <sz val="9"/>
            <color indexed="81"/>
            <rFont val="Tahoma"/>
            <family val="2"/>
            <charset val="238"/>
          </rPr>
          <t xml:space="preserve">Simonko:
</t>
        </r>
        <r>
          <rPr>
            <sz val="9"/>
            <color indexed="81"/>
            <rFont val="Tahoma"/>
            <family val="2"/>
            <charset val="238"/>
          </rPr>
          <t xml:space="preserve">5-Year Monthly Beta taken from Yahoo Finance
</t>
        </r>
      </text>
    </comment>
  </commentList>
</comments>
</file>

<file path=xl/sharedStrings.xml><?xml version="1.0" encoding="utf-8"?>
<sst xmlns="http://schemas.openxmlformats.org/spreadsheetml/2006/main" count="127" uniqueCount="64">
  <si>
    <t>The Coca Cola Company - DCF</t>
  </si>
  <si>
    <t>x</t>
  </si>
  <si>
    <t>Assumptions</t>
  </si>
  <si>
    <t>WACC</t>
  </si>
  <si>
    <t>TGR</t>
  </si>
  <si>
    <t>Tax Rate</t>
  </si>
  <si>
    <t>Income Statement</t>
  </si>
  <si>
    <t>Revenue</t>
  </si>
  <si>
    <t>% growth</t>
  </si>
  <si>
    <t>EBIT</t>
  </si>
  <si>
    <t>% of sales</t>
  </si>
  <si>
    <t>Taxes</t>
  </si>
  <si>
    <t>% of EBIT</t>
  </si>
  <si>
    <t>Cash Flow Items</t>
  </si>
  <si>
    <t xml:space="preserve">D&amp;A </t>
  </si>
  <si>
    <t>CapEx</t>
  </si>
  <si>
    <t>Change in NWC</t>
  </si>
  <si>
    <t>DCF</t>
  </si>
  <si>
    <t>Unlevered FCF</t>
  </si>
  <si>
    <t>Present Value of UFCF</t>
  </si>
  <si>
    <t>Terminal Value</t>
  </si>
  <si>
    <t>Enterprise Value</t>
  </si>
  <si>
    <t>Equity Value</t>
  </si>
  <si>
    <t>Implied Share Price</t>
  </si>
  <si>
    <t>(+) Cash</t>
  </si>
  <si>
    <t>(-) Debt</t>
  </si>
  <si>
    <t>Coca Cola - WACC Calculation</t>
  </si>
  <si>
    <t>Calculations:</t>
  </si>
  <si>
    <t>Debt</t>
  </si>
  <si>
    <t>% Debt</t>
  </si>
  <si>
    <t>Cost of Debt</t>
  </si>
  <si>
    <t>% Equity</t>
  </si>
  <si>
    <t>Cost of Equity</t>
  </si>
  <si>
    <t>Risk Free Rate</t>
  </si>
  <si>
    <t>Beta</t>
  </si>
  <si>
    <t>Debt + Equity</t>
  </si>
  <si>
    <t>EBIAT</t>
  </si>
  <si>
    <t xml:space="preserve"> </t>
  </si>
  <si>
    <t>Switches</t>
  </si>
  <si>
    <t>Conservative</t>
  </si>
  <si>
    <t>Conservative Case</t>
  </si>
  <si>
    <t>Street Case</t>
  </si>
  <si>
    <t>Optimistic Case</t>
  </si>
  <si>
    <t>Optimistic</t>
  </si>
  <si>
    <t>Year</t>
  </si>
  <si>
    <t>Metric</t>
  </si>
  <si>
    <t xml:space="preserve">Revenue </t>
  </si>
  <si>
    <t xml:space="preserve">EBIT </t>
  </si>
  <si>
    <t>Base</t>
  </si>
  <si>
    <t>Discount Period</t>
  </si>
  <si>
    <t>Period</t>
  </si>
  <si>
    <t>Ticker:</t>
  </si>
  <si>
    <t>Date:</t>
  </si>
  <si>
    <t>EOY:</t>
  </si>
  <si>
    <t>PV of Terminal Value</t>
  </si>
  <si>
    <t>Current Share Price</t>
  </si>
  <si>
    <t>Implied Upside / (Downside)</t>
  </si>
  <si>
    <t>--</t>
  </si>
  <si>
    <t>Operating NWC</t>
  </si>
  <si>
    <t>KO</t>
  </si>
  <si>
    <t>Equity Risk Premium</t>
  </si>
  <si>
    <t>Diluted Shares Outstanding</t>
  </si>
  <si>
    <t>Sensitivity Analysis</t>
  </si>
  <si>
    <t>Terminal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</si>
</sst>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E&quot;"/>
    <numFmt numFmtId="165" formatCode="yyyy&quot;A&quot;"/>
    <numFmt numFmtId="166" formatCode="0.0%;\(0.0%\);\-;@"/>
    <numFmt numFmtId="167" formatCode="#,##0;\(#,##0\);\-;@"/>
    <numFmt numFmtId="168" formatCode="0.0%"/>
    <numFmt numFmtId="191" formatCode="_-[$$-409]* #,##0.00_ ;_-[$$-409]* \-#,##0.00\ ;_-[$$-409]* &quot;-&quot;??_ ;_-@_ "/>
    <numFmt numFmtId="192" formatCode="0.0"/>
  </numFmts>
  <fonts count="22" x14ac:knownFonts="1">
    <font>
      <sz val="12"/>
      <color theme="1"/>
      <name val="Aptos Narrow"/>
      <family val="2"/>
      <charset val="238"/>
    </font>
    <font>
      <b/>
      <sz val="16"/>
      <color theme="1"/>
      <name val="Aptos Narrow"/>
      <family val="2"/>
    </font>
    <font>
      <sz val="11"/>
      <color theme="1"/>
      <name val="Aptos Narrow"/>
      <family val="2"/>
      <charset val="238"/>
    </font>
    <font>
      <sz val="11"/>
      <color theme="0"/>
      <name val="Aptos Narrow"/>
      <family val="2"/>
      <charset val="238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0"/>
      <name val="Aptos Narrow"/>
      <family val="2"/>
    </font>
    <font>
      <i/>
      <sz val="11"/>
      <color theme="1"/>
      <name val="Aptos Narrow"/>
      <family val="2"/>
    </font>
    <font>
      <sz val="12"/>
      <color theme="1"/>
      <name val="Aptos Narrow"/>
      <family val="2"/>
      <charset val="238"/>
    </font>
    <font>
      <b/>
      <u/>
      <sz val="11"/>
      <color theme="1"/>
      <name val="Aptos Narrow"/>
      <family val="2"/>
    </font>
    <font>
      <sz val="11"/>
      <color theme="3" tint="0.499984740745262"/>
      <name val="Aptos Narrow"/>
      <family val="2"/>
      <charset val="238"/>
    </font>
    <font>
      <sz val="11"/>
      <color rgb="FF7030A0"/>
      <name val="Aptos Narrow"/>
      <family val="2"/>
      <charset val="238"/>
    </font>
    <font>
      <sz val="11"/>
      <name val="Aptos Narrow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3" tint="0.499984740745262"/>
      <name val="Aptos Narrow"/>
      <family val="2"/>
    </font>
    <font>
      <sz val="11"/>
      <color theme="9"/>
      <name val="Aptos Narrow"/>
      <family val="2"/>
      <charset val="238"/>
    </font>
    <font>
      <b/>
      <sz val="12"/>
      <color theme="0"/>
      <name val="Aptos Narrow"/>
      <family val="2"/>
    </font>
    <font>
      <b/>
      <sz val="11"/>
      <color theme="0" tint="-0.14999847407452621"/>
      <name val="Aptos Narrow"/>
      <family val="2"/>
    </font>
    <font>
      <i/>
      <sz val="11"/>
      <name val="Aptos Narrow"/>
      <family val="2"/>
    </font>
    <font>
      <b/>
      <i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0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7" fillId="2" borderId="0" xfId="0" applyFont="1" applyFill="1"/>
    <xf numFmtId="0" fontId="8" fillId="0" borderId="0" xfId="0" applyFont="1"/>
    <xf numFmtId="0" fontId="2" fillId="0" borderId="1" xfId="0" applyFont="1" applyBorder="1"/>
    <xf numFmtId="0" fontId="2" fillId="0" borderId="0" xfId="0" quotePrefix="1" applyFont="1" applyAlignment="1">
      <alignment horizontal="left" indent="1"/>
    </xf>
    <xf numFmtId="0" fontId="2" fillId="0" borderId="1" xfId="0" quotePrefix="1" applyFont="1" applyBorder="1" applyAlignment="1">
      <alignment horizontal="left" indent="1"/>
    </xf>
    <xf numFmtId="0" fontId="6" fillId="0" borderId="1" xfId="0" applyFont="1" applyBorder="1"/>
    <xf numFmtId="165" fontId="4" fillId="2" borderId="0" xfId="0" applyNumberFormat="1" applyFont="1" applyFill="1"/>
    <xf numFmtId="164" fontId="4" fillId="2" borderId="0" xfId="0" applyNumberFormat="1" applyFont="1" applyFill="1"/>
    <xf numFmtId="0" fontId="10" fillId="0" borderId="0" xfId="0" applyFont="1"/>
    <xf numFmtId="0" fontId="2" fillId="3" borderId="5" xfId="0" applyFont="1" applyFill="1" applyBorder="1"/>
    <xf numFmtId="0" fontId="5" fillId="4" borderId="2" xfId="0" applyFont="1" applyFill="1" applyBorder="1"/>
    <xf numFmtId="0" fontId="2" fillId="4" borderId="3" xfId="0" applyFont="1" applyFill="1" applyBorder="1"/>
    <xf numFmtId="164" fontId="6" fillId="0" borderId="0" xfId="0" applyNumberFormat="1" applyFont="1"/>
    <xf numFmtId="9" fontId="2" fillId="3" borderId="5" xfId="1" applyFont="1" applyFill="1" applyBorder="1"/>
    <xf numFmtId="0" fontId="4" fillId="0" borderId="0" xfId="0" applyFont="1"/>
    <xf numFmtId="0" fontId="2" fillId="5" borderId="0" xfId="0" applyFont="1" applyFill="1"/>
    <xf numFmtId="0" fontId="5" fillId="5" borderId="0" xfId="0" applyFont="1" applyFill="1"/>
    <xf numFmtId="0" fontId="6" fillId="5" borderId="0" xfId="0" applyFont="1" applyFill="1"/>
    <xf numFmtId="0" fontId="10" fillId="5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166" fontId="2" fillId="0" borderId="0" xfId="0" quotePrefix="1" applyNumberFormat="1" applyFont="1" applyAlignment="1">
      <alignment horizontal="right"/>
    </xf>
    <xf numFmtId="167" fontId="2" fillId="0" borderId="0" xfId="0" applyNumberFormat="1" applyFont="1"/>
    <xf numFmtId="167" fontId="2" fillId="0" borderId="0" xfId="0" applyNumberFormat="1" applyFont="1" applyAlignment="1">
      <alignment horizontal="right"/>
    </xf>
    <xf numFmtId="167" fontId="11" fillId="0" borderId="0" xfId="0" applyNumberFormat="1" applyFont="1"/>
    <xf numFmtId="167" fontId="12" fillId="0" borderId="0" xfId="0" applyNumberFormat="1" applyFont="1"/>
    <xf numFmtId="166" fontId="12" fillId="0" borderId="0" xfId="0" applyNumberFormat="1" applyFont="1" applyAlignment="1">
      <alignment horizontal="right"/>
    </xf>
    <xf numFmtId="166" fontId="12" fillId="0" borderId="0" xfId="0" applyNumberFormat="1" applyFont="1"/>
    <xf numFmtId="0" fontId="5" fillId="3" borderId="5" xfId="0" applyFont="1" applyFill="1" applyBorder="1" applyAlignment="1">
      <alignment horizontal="center"/>
    </xf>
    <xf numFmtId="168" fontId="2" fillId="3" borderId="5" xfId="0" applyNumberFormat="1" applyFont="1" applyFill="1" applyBorder="1"/>
    <xf numFmtId="168" fontId="12" fillId="3" borderId="5" xfId="0" applyNumberFormat="1" applyFont="1" applyFill="1" applyBorder="1"/>
    <xf numFmtId="168" fontId="11" fillId="3" borderId="5" xfId="0" applyNumberFormat="1" applyFont="1" applyFill="1" applyBorder="1"/>
    <xf numFmtId="168" fontId="13" fillId="3" borderId="5" xfId="0" applyNumberFormat="1" applyFont="1" applyFill="1" applyBorder="1"/>
    <xf numFmtId="10" fontId="2" fillId="3" borderId="5" xfId="0" applyNumberFormat="1" applyFont="1" applyFill="1" applyBorder="1"/>
    <xf numFmtId="167" fontId="13" fillId="0" borderId="0" xfId="0" applyNumberFormat="1" applyFont="1"/>
    <xf numFmtId="0" fontId="6" fillId="4" borderId="3" xfId="0" applyFont="1" applyFill="1" applyBorder="1"/>
    <xf numFmtId="166" fontId="2" fillId="3" borderId="5" xfId="0" applyNumberFormat="1" applyFont="1" applyFill="1" applyBorder="1"/>
    <xf numFmtId="166" fontId="11" fillId="3" borderId="5" xfId="0" applyNumberFormat="1" applyFont="1" applyFill="1" applyBorder="1"/>
    <xf numFmtId="14" fontId="5" fillId="3" borderId="5" xfId="0" applyNumberFormat="1" applyFont="1" applyFill="1" applyBorder="1" applyAlignment="1">
      <alignment horizontal="center"/>
    </xf>
    <xf numFmtId="166" fontId="12" fillId="3" borderId="5" xfId="0" applyNumberFormat="1" applyFont="1" applyFill="1" applyBorder="1"/>
    <xf numFmtId="167" fontId="12" fillId="0" borderId="0" xfId="0" applyNumberFormat="1" applyFont="1" applyAlignment="1">
      <alignment horizontal="right"/>
    </xf>
    <xf numFmtId="167" fontId="5" fillId="4" borderId="3" xfId="0" applyNumberFormat="1" applyFont="1" applyFill="1" applyBorder="1"/>
    <xf numFmtId="167" fontId="5" fillId="4" borderId="4" xfId="0" applyNumberFormat="1" applyFont="1" applyFill="1" applyBorder="1"/>
    <xf numFmtId="10" fontId="2" fillId="3" borderId="5" xfId="1" applyNumberFormat="1" applyFont="1" applyFill="1" applyBorder="1"/>
    <xf numFmtId="10" fontId="6" fillId="0" borderId="0" xfId="0" applyNumberFormat="1" applyFont="1"/>
    <xf numFmtId="167" fontId="13" fillId="0" borderId="1" xfId="0" applyNumberFormat="1" applyFont="1" applyBorder="1"/>
    <xf numFmtId="10" fontId="5" fillId="4" borderId="4" xfId="0" applyNumberFormat="1" applyFont="1" applyFill="1" applyBorder="1"/>
    <xf numFmtId="9" fontId="16" fillId="3" borderId="5" xfId="0" applyNumberFormat="1" applyFont="1" applyFill="1" applyBorder="1"/>
    <xf numFmtId="9" fontId="16" fillId="3" borderId="5" xfId="1" applyNumberFormat="1" applyFont="1" applyFill="1" applyBorder="1"/>
    <xf numFmtId="9" fontId="11" fillId="3" borderId="5" xfId="0" applyNumberFormat="1" applyFont="1" applyFill="1" applyBorder="1"/>
    <xf numFmtId="9" fontId="11" fillId="3" borderId="5" xfId="1" applyFont="1" applyFill="1" applyBorder="1"/>
    <xf numFmtId="10" fontId="17" fillId="3" borderId="5" xfId="0" applyNumberFormat="1" applyFont="1" applyFill="1" applyBorder="1"/>
    <xf numFmtId="2" fontId="2" fillId="0" borderId="0" xfId="0" applyNumberFormat="1" applyFont="1"/>
    <xf numFmtId="167" fontId="2" fillId="0" borderId="1" xfId="0" applyNumberFormat="1" applyFont="1" applyBorder="1"/>
    <xf numFmtId="167" fontId="5" fillId="0" borderId="0" xfId="0" applyNumberFormat="1" applyFont="1"/>
    <xf numFmtId="191" fontId="5" fillId="0" borderId="0" xfId="0" applyNumberFormat="1" applyFont="1"/>
    <xf numFmtId="191" fontId="6" fillId="0" borderId="0" xfId="0" applyNumberFormat="1" applyFont="1" applyAlignment="1">
      <alignment horizontal="right"/>
    </xf>
    <xf numFmtId="168" fontId="2" fillId="0" borderId="0" xfId="1" applyNumberFormat="1" applyFont="1" applyAlignment="1">
      <alignment horizontal="right"/>
    </xf>
    <xf numFmtId="0" fontId="5" fillId="4" borderId="3" xfId="0" applyFont="1" applyFill="1" applyBorder="1"/>
    <xf numFmtId="0" fontId="18" fillId="6" borderId="6" xfId="0" applyFont="1" applyFill="1" applyBorder="1"/>
    <xf numFmtId="0" fontId="4" fillId="6" borderId="7" xfId="0" applyFont="1" applyFill="1" applyBorder="1"/>
    <xf numFmtId="0" fontId="5" fillId="6" borderId="7" xfId="0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0" fontId="2" fillId="6" borderId="9" xfId="0" applyFont="1" applyFill="1" applyBorder="1"/>
    <xf numFmtId="0" fontId="2" fillId="6" borderId="10" xfId="0" applyFont="1" applyFill="1" applyBorder="1"/>
    <xf numFmtId="166" fontId="20" fillId="6" borderId="10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vertical="center" textRotation="90"/>
    </xf>
    <xf numFmtId="166" fontId="20" fillId="6" borderId="1" xfId="0" applyNumberFormat="1" applyFont="1" applyFill="1" applyBorder="1" applyAlignment="1">
      <alignment horizontal="right" vertical="center"/>
    </xf>
    <xf numFmtId="0" fontId="2" fillId="6" borderId="0" xfId="0" applyFont="1" applyFill="1" applyBorder="1"/>
    <xf numFmtId="166" fontId="20" fillId="6" borderId="0" xfId="0" applyNumberFormat="1" applyFont="1" applyFill="1" applyBorder="1" applyAlignment="1">
      <alignment horizontal="center"/>
    </xf>
    <xf numFmtId="166" fontId="20" fillId="6" borderId="0" xfId="0" applyNumberFormat="1" applyFont="1" applyFill="1" applyBorder="1" applyAlignment="1">
      <alignment horizontal="right" vertical="center"/>
    </xf>
    <xf numFmtId="166" fontId="21" fillId="7" borderId="0" xfId="0" applyNumberFormat="1" applyFont="1" applyFill="1" applyBorder="1" applyAlignment="1">
      <alignment horizontal="right" vertical="center"/>
    </xf>
    <xf numFmtId="0" fontId="10" fillId="6" borderId="0" xfId="0" applyFont="1" applyFill="1" applyBorder="1" applyAlignment="1">
      <alignment horizontal="center"/>
    </xf>
    <xf numFmtId="0" fontId="5" fillId="6" borderId="0" xfId="0" applyFont="1" applyFill="1" applyBorder="1"/>
    <xf numFmtId="191" fontId="19" fillId="6" borderId="0" xfId="0" applyNumberFormat="1" applyFont="1" applyFill="1" applyBorder="1"/>
    <xf numFmtId="166" fontId="21" fillId="7" borderId="0" xfId="0" applyNumberFormat="1" applyFont="1" applyFill="1" applyBorder="1" applyAlignment="1">
      <alignment horizontal="center"/>
    </xf>
    <xf numFmtId="166" fontId="20" fillId="6" borderId="11" xfId="0" applyNumberFormat="1" applyFont="1" applyFill="1" applyBorder="1" applyAlignment="1">
      <alignment horizontal="right" vertical="center"/>
    </xf>
    <xf numFmtId="192" fontId="2" fillId="0" borderId="6" xfId="0" applyNumberFormat="1" applyFont="1" applyBorder="1" applyAlignment="1">
      <alignment horizontal="center"/>
    </xf>
    <xf numFmtId="192" fontId="2" fillId="0" borderId="7" xfId="0" applyNumberFormat="1" applyFont="1" applyBorder="1" applyAlignment="1">
      <alignment horizontal="center"/>
    </xf>
    <xf numFmtId="192" fontId="2" fillId="7" borderId="7" xfId="0" applyNumberFormat="1" applyFont="1" applyFill="1" applyBorder="1" applyAlignment="1">
      <alignment horizontal="center"/>
    </xf>
    <xf numFmtId="192" fontId="2" fillId="0" borderId="9" xfId="0" applyNumberFormat="1" applyFont="1" applyBorder="1" applyAlignment="1">
      <alignment horizontal="center"/>
    </xf>
    <xf numFmtId="192" fontId="2" fillId="0" borderId="0" xfId="0" applyNumberFormat="1" applyFont="1" applyBorder="1" applyAlignment="1">
      <alignment horizontal="center"/>
    </xf>
    <xf numFmtId="192" fontId="2" fillId="7" borderId="0" xfId="0" applyNumberFormat="1" applyFont="1" applyFill="1" applyBorder="1" applyAlignment="1">
      <alignment horizontal="center"/>
    </xf>
    <xf numFmtId="192" fontId="6" fillId="0" borderId="0" xfId="0" applyNumberFormat="1" applyFont="1" applyBorder="1" applyAlignment="1">
      <alignment horizontal="center"/>
    </xf>
    <xf numFmtId="192" fontId="2" fillId="7" borderId="9" xfId="0" applyNumberFormat="1" applyFont="1" applyFill="1" applyBorder="1" applyAlignment="1">
      <alignment horizontal="center"/>
    </xf>
    <xf numFmtId="192" fontId="5" fillId="7" borderId="0" xfId="0" applyNumberFormat="1" applyFont="1" applyFill="1" applyBorder="1" applyAlignment="1">
      <alignment horizontal="center"/>
    </xf>
    <xf numFmtId="192" fontId="2" fillId="0" borderId="8" xfId="0" applyNumberFormat="1" applyFont="1" applyBorder="1" applyAlignment="1">
      <alignment horizontal="center"/>
    </xf>
    <xf numFmtId="192" fontId="2" fillId="0" borderId="10" xfId="0" applyNumberFormat="1" applyFont="1" applyBorder="1" applyAlignment="1">
      <alignment horizontal="center"/>
    </xf>
    <xf numFmtId="192" fontId="2" fillId="7" borderId="10" xfId="0" applyNumberFormat="1" applyFont="1" applyFill="1" applyBorder="1" applyAlignment="1">
      <alignment horizontal="center"/>
    </xf>
    <xf numFmtId="192" fontId="2" fillId="0" borderId="11" xfId="0" applyNumberFormat="1" applyFont="1" applyBorder="1" applyAlignment="1">
      <alignment horizontal="center"/>
    </xf>
    <xf numFmtId="192" fontId="2" fillId="0" borderId="1" xfId="0" applyNumberFormat="1" applyFont="1" applyBorder="1" applyAlignment="1">
      <alignment horizontal="center"/>
    </xf>
    <xf numFmtId="192" fontId="2" fillId="7" borderId="1" xfId="0" applyNumberFormat="1" applyFont="1" applyFill="1" applyBorder="1" applyAlignment="1">
      <alignment horizontal="center"/>
    </xf>
    <xf numFmtId="192" fontId="2" fillId="0" borderId="12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CocaCola_DCF_Valuation.xlsx" TargetMode="External"/><Relationship Id="rId2" Type="http://schemas.openxmlformats.org/officeDocument/2006/relationships/externalLinkPath" Target="file:///C:\Users\Simonko\Downloads\CocaCola_DCF_Valuation.xlsx" TargetMode="External"/><Relationship Id="rId1" Type="http://schemas.openxmlformats.org/officeDocument/2006/relationships/externalLinkPath" Target="/Users/Simonko/Downloads/CocaCola_DCF_Va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Assumptions"/>
      <sheetName val="Historical Financials"/>
      <sheetName val="Forecast"/>
      <sheetName val="WACC"/>
      <sheetName val="Free Cash Flow"/>
      <sheetName val="DCF &amp; Sensitivity"/>
    </sheetNames>
    <sheetDataSet>
      <sheetData sheetId="0"/>
      <sheetData sheetId="1"/>
      <sheetData sheetId="2">
        <row r="6">
          <cell r="C6">
            <v>38655</v>
          </cell>
          <cell r="D6">
            <v>43004</v>
          </cell>
          <cell r="E6">
            <v>45754</v>
          </cell>
          <cell r="F6">
            <v>47061</v>
          </cell>
          <cell r="G6">
            <v>47941</v>
          </cell>
        </row>
        <row r="8">
          <cell r="C8">
            <v>10308</v>
          </cell>
          <cell r="D8">
            <v>10909</v>
          </cell>
          <cell r="E8">
            <v>11311</v>
          </cell>
          <cell r="F8">
            <v>9992</v>
          </cell>
          <cell r="G8">
            <v>13762</v>
          </cell>
        </row>
        <row r="11">
          <cell r="C11">
            <v>2621</v>
          </cell>
          <cell r="D11">
            <v>2115</v>
          </cell>
          <cell r="E11">
            <v>2249</v>
          </cell>
          <cell r="F11">
            <v>2437</v>
          </cell>
          <cell r="G11">
            <v>2861</v>
          </cell>
        </row>
        <row r="17">
          <cell r="C17">
            <v>1425</v>
          </cell>
          <cell r="D17">
            <v>1260</v>
          </cell>
          <cell r="E17">
            <v>1128</v>
          </cell>
          <cell r="F17">
            <v>1075</v>
          </cell>
          <cell r="G17">
            <v>1050</v>
          </cell>
        </row>
        <row r="18">
          <cell r="C18">
            <v>1367</v>
          </cell>
          <cell r="D18">
            <v>1484</v>
          </cell>
          <cell r="E18">
            <v>1852</v>
          </cell>
          <cell r="F18">
            <v>2064</v>
          </cell>
          <cell r="G18">
            <v>2112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47FAD1-DE43-4E20-AB58-C7ADCF1BA95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c9df815-3dab-4f6a-ab76-7fbd2626e50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8F82-0AE5-450C-BD91-A7D88D6BB465}">
  <dimension ref="A1:T96"/>
  <sheetViews>
    <sheetView showGridLines="0" topLeftCell="A15" zoomScale="87" zoomScaleNormal="87" workbookViewId="0"/>
  </sheetViews>
  <sheetFormatPr defaultRowHeight="15" x14ac:dyDescent="0.25"/>
  <cols>
    <col min="1" max="1" width="3.625" style="3" customWidth="1"/>
    <col min="2" max="2" width="9" style="3"/>
    <col min="3" max="3" width="10.625" style="3" customWidth="1"/>
    <col min="4" max="9" width="9" style="3"/>
    <col min="10" max="10" width="9" style="3" customWidth="1"/>
    <col min="11" max="11" width="10.75" style="3" bestFit="1" customWidth="1"/>
    <col min="12" max="13" width="9.75" style="3" bestFit="1" customWidth="1"/>
    <col min="14" max="19" width="9" style="3"/>
    <col min="20" max="20" width="9" style="3" customWidth="1"/>
    <col min="21" max="16384" width="9" style="3"/>
  </cols>
  <sheetData>
    <row r="1" spans="1:20" customFormat="1" ht="15.75" x14ac:dyDescent="0.25"/>
    <row r="2" spans="1:20" s="2" customFormat="1" ht="21" x14ac:dyDescent="0.35">
      <c r="B2" s="1" t="s">
        <v>0</v>
      </c>
    </row>
    <row r="3" spans="1:20" customFormat="1" ht="21" x14ac:dyDescent="0.35">
      <c r="B3" s="32"/>
    </row>
    <row r="4" spans="1:20" customFormat="1" ht="15.75" x14ac:dyDescent="0.25">
      <c r="B4" s="7" t="s">
        <v>51</v>
      </c>
      <c r="C4" s="40" t="s">
        <v>59</v>
      </c>
      <c r="E4" s="3" t="s">
        <v>23</v>
      </c>
      <c r="F4" s="3"/>
      <c r="G4" s="3"/>
      <c r="H4" s="68">
        <f ca="1">N82</f>
        <v>84.204867385023903</v>
      </c>
    </row>
    <row r="5" spans="1:20" customFormat="1" ht="15.75" x14ac:dyDescent="0.25">
      <c r="B5" s="7" t="s">
        <v>52</v>
      </c>
      <c r="C5" s="50">
        <v>46205</v>
      </c>
      <c r="E5" s="3" t="s">
        <v>55</v>
      </c>
      <c r="F5" s="3"/>
      <c r="G5" s="3"/>
      <c r="H5" s="68">
        <v>81.88</v>
      </c>
    </row>
    <row r="6" spans="1:20" customFormat="1" ht="15.75" x14ac:dyDescent="0.25">
      <c r="B6" s="7" t="s">
        <v>53</v>
      </c>
      <c r="C6" s="50">
        <v>46387</v>
      </c>
      <c r="E6" s="3" t="s">
        <v>56</v>
      </c>
      <c r="F6" s="3"/>
      <c r="G6" s="3"/>
      <c r="H6" s="69">
        <f ca="1">H4/H5-1</f>
        <v>2.8393592880116003E-2</v>
      </c>
    </row>
    <row r="7" spans="1:20" x14ac:dyDescent="0.25">
      <c r="A7" s="3" t="s">
        <v>37</v>
      </c>
    </row>
    <row r="8" spans="1:20" s="4" customFormat="1" x14ac:dyDescent="0.25">
      <c r="A8" s="3" t="s">
        <v>1</v>
      </c>
      <c r="B8" s="6" t="s">
        <v>2</v>
      </c>
    </row>
    <row r="9" spans="1:20" ht="5.0999999999999996" customHeight="1" x14ac:dyDescent="0.25">
      <c r="B9" s="24"/>
    </row>
    <row r="10" spans="1:20" x14ac:dyDescent="0.25">
      <c r="B10" s="26" t="s">
        <v>38</v>
      </c>
      <c r="C10" s="27"/>
      <c r="D10" s="27"/>
      <c r="E10" s="27"/>
      <c r="G10" s="26" t="s">
        <v>39</v>
      </c>
      <c r="H10" s="25"/>
      <c r="I10" s="28"/>
      <c r="J10" s="25"/>
      <c r="L10" s="26" t="s">
        <v>48</v>
      </c>
      <c r="M10" s="25"/>
      <c r="N10" s="28"/>
      <c r="O10" s="25"/>
      <c r="Q10" s="26" t="s">
        <v>43</v>
      </c>
      <c r="R10" s="25"/>
      <c r="S10" s="28"/>
      <c r="T10" s="25"/>
    </row>
    <row r="11" spans="1:20" x14ac:dyDescent="0.25">
      <c r="B11" s="18" t="s">
        <v>2</v>
      </c>
      <c r="G11" s="18" t="s">
        <v>2</v>
      </c>
      <c r="H11" s="8"/>
      <c r="I11" s="29" t="s">
        <v>44</v>
      </c>
      <c r="J11" s="30" t="s">
        <v>45</v>
      </c>
      <c r="L11" s="18" t="s">
        <v>2</v>
      </c>
      <c r="M11" s="8"/>
      <c r="N11" s="29" t="s">
        <v>44</v>
      </c>
      <c r="O11" s="30" t="s">
        <v>45</v>
      </c>
      <c r="Q11" s="18" t="s">
        <v>2</v>
      </c>
      <c r="R11" s="8"/>
      <c r="S11" s="29" t="s">
        <v>44</v>
      </c>
      <c r="T11" s="30" t="s">
        <v>45</v>
      </c>
    </row>
    <row r="12" spans="1:20" x14ac:dyDescent="0.25">
      <c r="B12" s="3" t="s">
        <v>7</v>
      </c>
      <c r="E12" s="19">
        <v>3</v>
      </c>
      <c r="G12" s="3" t="s">
        <v>7</v>
      </c>
      <c r="I12" s="31">
        <v>2026</v>
      </c>
      <c r="J12" s="59">
        <v>0.9</v>
      </c>
      <c r="L12" s="3" t="s">
        <v>46</v>
      </c>
      <c r="N12" s="31">
        <v>2026</v>
      </c>
      <c r="O12" s="43">
        <v>4.4999999999999998E-2</v>
      </c>
      <c r="Q12" s="3" t="s">
        <v>7</v>
      </c>
      <c r="S12" s="31">
        <v>2026</v>
      </c>
      <c r="T12" s="61">
        <v>1.1000000000000001</v>
      </c>
    </row>
    <row r="13" spans="1:20" x14ac:dyDescent="0.25">
      <c r="B13" s="3" t="s">
        <v>9</v>
      </c>
      <c r="E13" s="19">
        <v>2</v>
      </c>
      <c r="G13" s="3" t="s">
        <v>46</v>
      </c>
      <c r="I13" s="31">
        <v>2030</v>
      </c>
      <c r="J13" s="60">
        <v>0.8</v>
      </c>
      <c r="L13" s="3" t="s">
        <v>46</v>
      </c>
      <c r="N13" s="31">
        <v>2030</v>
      </c>
      <c r="O13" s="43">
        <v>0.03</v>
      </c>
      <c r="Q13" s="3" t="s">
        <v>46</v>
      </c>
      <c r="S13" s="31">
        <v>2030</v>
      </c>
      <c r="T13" s="62">
        <v>1.2</v>
      </c>
    </row>
    <row r="14" spans="1:20" x14ac:dyDescent="0.25">
      <c r="B14" s="3" t="s">
        <v>3</v>
      </c>
      <c r="E14" s="19">
        <v>2</v>
      </c>
      <c r="G14" s="3" t="s">
        <v>47</v>
      </c>
      <c r="I14" s="31">
        <v>2026</v>
      </c>
      <c r="J14" s="59">
        <v>0.95</v>
      </c>
      <c r="L14" s="3" t="s">
        <v>47</v>
      </c>
      <c r="N14" s="31">
        <v>2026</v>
      </c>
      <c r="O14" s="43">
        <v>0.31</v>
      </c>
      <c r="Q14" s="3" t="s">
        <v>47</v>
      </c>
      <c r="S14" s="31">
        <v>2026</v>
      </c>
      <c r="T14" s="62">
        <v>1.05</v>
      </c>
    </row>
    <row r="15" spans="1:20" x14ac:dyDescent="0.25">
      <c r="B15" s="3" t="s">
        <v>4</v>
      </c>
      <c r="E15" s="19">
        <v>2</v>
      </c>
      <c r="G15" s="3" t="s">
        <v>47</v>
      </c>
      <c r="I15" s="31">
        <v>2030</v>
      </c>
      <c r="J15" s="60">
        <v>0.93</v>
      </c>
      <c r="L15" s="3" t="s">
        <v>47</v>
      </c>
      <c r="N15" s="31">
        <v>2030</v>
      </c>
      <c r="O15" s="43">
        <v>0.33500000000000002</v>
      </c>
      <c r="Q15" s="3" t="s">
        <v>47</v>
      </c>
      <c r="S15" s="31">
        <v>2030</v>
      </c>
      <c r="T15" s="62">
        <v>1.05</v>
      </c>
    </row>
    <row r="16" spans="1:20" x14ac:dyDescent="0.25">
      <c r="B16" s="7"/>
      <c r="E16" s="9"/>
      <c r="F16" s="9"/>
      <c r="I16" s="31"/>
      <c r="N16" s="31"/>
      <c r="S16" s="31"/>
    </row>
    <row r="17" spans="1:20" x14ac:dyDescent="0.25">
      <c r="B17" s="3" t="s">
        <v>3</v>
      </c>
      <c r="E17" s="45">
        <f>CHOOSE(E14,J17,O17,T17)</f>
        <v>5.8424073518351972E-2</v>
      </c>
      <c r="G17" s="22" t="s">
        <v>3</v>
      </c>
      <c r="H17" s="9"/>
      <c r="I17" s="31"/>
      <c r="J17" s="45">
        <f>O17+0.5%</f>
        <v>6.342407351835197E-2</v>
      </c>
      <c r="L17" s="22" t="s">
        <v>3</v>
      </c>
      <c r="M17" s="9"/>
      <c r="N17" s="31"/>
      <c r="O17" s="63">
        <f>WACC!E20</f>
        <v>5.8424073518351972E-2</v>
      </c>
      <c r="Q17" s="22" t="s">
        <v>3</v>
      </c>
      <c r="R17" s="9"/>
      <c r="S17" s="31"/>
      <c r="T17" s="45">
        <f>O17-0.5%</f>
        <v>5.3424073518351975E-2</v>
      </c>
    </row>
    <row r="18" spans="1:20" x14ac:dyDescent="0.25">
      <c r="B18" s="3" t="s">
        <v>4</v>
      </c>
      <c r="E18" s="41">
        <f>CHOOSE(E15,J18,O18,T18)</f>
        <v>2.5000000000000001E-2</v>
      </c>
      <c r="G18" s="3" t="s">
        <v>4</v>
      </c>
      <c r="I18" s="31"/>
      <c r="J18" s="41">
        <v>0.02</v>
      </c>
      <c r="L18" s="3" t="s">
        <v>4</v>
      </c>
      <c r="N18" s="31"/>
      <c r="O18" s="41">
        <v>2.5000000000000001E-2</v>
      </c>
      <c r="Q18" s="3" t="s">
        <v>4</v>
      </c>
      <c r="S18" s="31"/>
      <c r="T18" s="41">
        <v>0.03</v>
      </c>
    </row>
    <row r="20" spans="1:20" x14ac:dyDescent="0.25">
      <c r="A20" s="3" t="s">
        <v>1</v>
      </c>
      <c r="B20" s="6" t="s">
        <v>6</v>
      </c>
      <c r="C20" s="6"/>
      <c r="D20" s="6"/>
      <c r="E20" s="16">
        <v>44561</v>
      </c>
      <c r="F20" s="16">
        <f>EOMONTH(E20,12)</f>
        <v>44926</v>
      </c>
      <c r="G20" s="16">
        <f t="shared" ref="G20:N20" si="0">EOMONTH(F20,12)</f>
        <v>45291</v>
      </c>
      <c r="H20" s="16">
        <f t="shared" si="0"/>
        <v>45657</v>
      </c>
      <c r="I20" s="16">
        <f t="shared" si="0"/>
        <v>46022</v>
      </c>
      <c r="J20" s="17">
        <f t="shared" si="0"/>
        <v>46387</v>
      </c>
      <c r="K20" s="17">
        <f t="shared" si="0"/>
        <v>46752</v>
      </c>
      <c r="L20" s="17">
        <f t="shared" si="0"/>
        <v>47118</v>
      </c>
      <c r="M20" s="17">
        <f t="shared" si="0"/>
        <v>47483</v>
      </c>
      <c r="N20" s="17">
        <f t="shared" si="0"/>
        <v>47848</v>
      </c>
    </row>
    <row r="21" spans="1:20" x14ac:dyDescent="0.25">
      <c r="B21" s="3" t="s">
        <v>7</v>
      </c>
      <c r="E21" s="36">
        <f>'[1]Historical Financials'!C6</f>
        <v>38655</v>
      </c>
      <c r="F21" s="36">
        <f>'[1]Historical Financials'!D6</f>
        <v>43004</v>
      </c>
      <c r="G21" s="36">
        <f>'[1]Historical Financials'!E6</f>
        <v>45754</v>
      </c>
      <c r="H21" s="36">
        <f>'[1]Historical Financials'!F6</f>
        <v>47061</v>
      </c>
      <c r="I21" s="36">
        <f>'[1]Historical Financials'!G6</f>
        <v>47941</v>
      </c>
    </row>
    <row r="22" spans="1:20" x14ac:dyDescent="0.25">
      <c r="B22" s="11" t="s">
        <v>8</v>
      </c>
      <c r="E22" s="33" t="s">
        <v>57</v>
      </c>
      <c r="F22" s="33">
        <f>F21/E21-1</f>
        <v>0.11250808433579107</v>
      </c>
      <c r="G22" s="33">
        <f t="shared" ref="G22:I22" si="1">G21/F21-1</f>
        <v>6.3947539763743011E-2</v>
      </c>
      <c r="H22" s="33">
        <f t="shared" si="1"/>
        <v>2.8565808453905772E-2</v>
      </c>
      <c r="I22" s="33">
        <f t="shared" si="1"/>
        <v>1.8699135164998548E-2</v>
      </c>
    </row>
    <row r="24" spans="1:20" x14ac:dyDescent="0.25">
      <c r="B24" s="3" t="s">
        <v>9</v>
      </c>
      <c r="E24" s="36">
        <f>'[1]Historical Financials'!C8</f>
        <v>10308</v>
      </c>
      <c r="F24" s="36">
        <f>'[1]Historical Financials'!D8</f>
        <v>10909</v>
      </c>
      <c r="G24" s="36">
        <f>'[1]Historical Financials'!E8</f>
        <v>11311</v>
      </c>
      <c r="H24" s="36">
        <f>'[1]Historical Financials'!F8</f>
        <v>9992</v>
      </c>
      <c r="I24" s="36">
        <f>'[1]Historical Financials'!G8</f>
        <v>13762</v>
      </c>
    </row>
    <row r="25" spans="1:20" x14ac:dyDescent="0.25">
      <c r="B25" s="3" t="s">
        <v>10</v>
      </c>
      <c r="E25" s="33">
        <f>E24/E21</f>
        <v>0.26666666666666666</v>
      </c>
      <c r="F25" s="33">
        <f t="shared" ref="F25:I25" si="2">F24/F21</f>
        <v>0.25367407683006232</v>
      </c>
      <c r="G25" s="33">
        <f t="shared" si="2"/>
        <v>0.24721335839489444</v>
      </c>
      <c r="H25" s="33">
        <f t="shared" si="2"/>
        <v>0.21232018019166612</v>
      </c>
      <c r="I25" s="33">
        <f t="shared" si="2"/>
        <v>0.28706117936630443</v>
      </c>
    </row>
    <row r="27" spans="1:20" x14ac:dyDescent="0.25">
      <c r="B27" s="3" t="s">
        <v>11</v>
      </c>
      <c r="E27" s="36">
        <f>'[1]Historical Financials'!C11</f>
        <v>2621</v>
      </c>
      <c r="F27" s="36">
        <f>'[1]Historical Financials'!D11</f>
        <v>2115</v>
      </c>
      <c r="G27" s="36">
        <f>'[1]Historical Financials'!E11</f>
        <v>2249</v>
      </c>
      <c r="H27" s="36">
        <f>'[1]Historical Financials'!F11</f>
        <v>2437</v>
      </c>
      <c r="I27" s="36">
        <f>'[1]Historical Financials'!G11</f>
        <v>2861</v>
      </c>
    </row>
    <row r="28" spans="1:20" x14ac:dyDescent="0.25">
      <c r="B28" s="11" t="s">
        <v>12</v>
      </c>
      <c r="E28" s="33">
        <f>E27/E24</f>
        <v>0.25426852929763288</v>
      </c>
      <c r="F28" s="33">
        <f t="shared" ref="F28:I28" si="3">F27/F24</f>
        <v>0.19387661563846365</v>
      </c>
      <c r="G28" s="33">
        <f t="shared" si="3"/>
        <v>0.19883299443020069</v>
      </c>
      <c r="H28" s="33">
        <f t="shared" si="3"/>
        <v>0.24389511609287429</v>
      </c>
      <c r="I28" s="33">
        <f t="shared" si="3"/>
        <v>0.20789129486993169</v>
      </c>
    </row>
    <row r="30" spans="1:20" x14ac:dyDescent="0.25">
      <c r="A30" s="3" t="s">
        <v>1</v>
      </c>
      <c r="B30" s="6" t="s">
        <v>13</v>
      </c>
      <c r="C30" s="5"/>
      <c r="D30" s="5"/>
      <c r="E30" s="16">
        <v>44561</v>
      </c>
      <c r="F30" s="16">
        <f>EOMONTH(E30,12)</f>
        <v>44926</v>
      </c>
      <c r="G30" s="16">
        <f t="shared" ref="G30" si="4">EOMONTH(F30,12)</f>
        <v>45291</v>
      </c>
      <c r="H30" s="16">
        <f t="shared" ref="H30" si="5">EOMONTH(G30,12)</f>
        <v>45657</v>
      </c>
      <c r="I30" s="16">
        <f t="shared" ref="I30" si="6">EOMONTH(H30,12)</f>
        <v>46022</v>
      </c>
      <c r="J30" s="17">
        <f t="shared" ref="J30" si="7">EOMONTH(I30,12)</f>
        <v>46387</v>
      </c>
      <c r="K30" s="17">
        <f t="shared" ref="K30" si="8">EOMONTH(J30,12)</f>
        <v>46752</v>
      </c>
      <c r="L30" s="17">
        <f t="shared" ref="L30" si="9">EOMONTH(K30,12)</f>
        <v>47118</v>
      </c>
      <c r="M30" s="17">
        <f t="shared" ref="M30" si="10">EOMONTH(L30,12)</f>
        <v>47483</v>
      </c>
      <c r="N30" s="17">
        <f t="shared" ref="N30" si="11">EOMONTH(M30,12)</f>
        <v>47848</v>
      </c>
    </row>
    <row r="31" spans="1:20" x14ac:dyDescent="0.25">
      <c r="B31" s="3" t="s">
        <v>14</v>
      </c>
      <c r="E31" s="36">
        <f>'[1]Historical Financials'!C17</f>
        <v>1425</v>
      </c>
      <c r="F31" s="36">
        <f>'[1]Historical Financials'!D17</f>
        <v>1260</v>
      </c>
      <c r="G31" s="36">
        <f>'[1]Historical Financials'!E17</f>
        <v>1128</v>
      </c>
      <c r="H31" s="36">
        <f>'[1]Historical Financials'!F17</f>
        <v>1075</v>
      </c>
      <c r="I31" s="36">
        <f>'[1]Historical Financials'!G17</f>
        <v>1050</v>
      </c>
    </row>
    <row r="32" spans="1:20" x14ac:dyDescent="0.25">
      <c r="B32" s="11" t="s">
        <v>10</v>
      </c>
      <c r="E32" s="33">
        <f>E31/E21</f>
        <v>3.6864571206829649E-2</v>
      </c>
      <c r="F32" s="33">
        <f t="shared" ref="F32:I32" si="12">F31/F21</f>
        <v>2.9299600037205841E-2</v>
      </c>
      <c r="G32" s="33">
        <f t="shared" si="12"/>
        <v>2.4653582200463348E-2</v>
      </c>
      <c r="H32" s="33">
        <f t="shared" si="12"/>
        <v>2.2842693525424448E-2</v>
      </c>
      <c r="I32" s="33">
        <f t="shared" si="12"/>
        <v>2.1901921111366053E-2</v>
      </c>
    </row>
    <row r="34" spans="1:14" x14ac:dyDescent="0.25">
      <c r="B34" s="3" t="s">
        <v>15</v>
      </c>
      <c r="E34" s="36">
        <f>'[1]Historical Financials'!C18</f>
        <v>1367</v>
      </c>
      <c r="F34" s="36">
        <f>'[1]Historical Financials'!D18</f>
        <v>1484</v>
      </c>
      <c r="G34" s="36">
        <f>'[1]Historical Financials'!E18</f>
        <v>1852</v>
      </c>
      <c r="H34" s="36">
        <f>'[1]Historical Financials'!F18</f>
        <v>2064</v>
      </c>
      <c r="I34" s="36">
        <f>'[1]Historical Financials'!G18</f>
        <v>2112</v>
      </c>
    </row>
    <row r="35" spans="1:14" x14ac:dyDescent="0.25">
      <c r="B35" s="11" t="s">
        <v>10</v>
      </c>
      <c r="E35" s="33">
        <f>E34/E21</f>
        <v>3.5364118484025354E-2</v>
      </c>
      <c r="F35" s="33">
        <f t="shared" ref="F35:I35" si="13">F34/F21</f>
        <v>3.4508417821597991E-2</v>
      </c>
      <c r="G35" s="33">
        <f t="shared" si="13"/>
        <v>4.0477335314945143E-2</v>
      </c>
      <c r="H35" s="33">
        <f t="shared" si="13"/>
        <v>4.3857971568814942E-2</v>
      </c>
      <c r="I35" s="33">
        <f t="shared" si="13"/>
        <v>4.4054149892576291E-2</v>
      </c>
    </row>
    <row r="36" spans="1:14" x14ac:dyDescent="0.25">
      <c r="B36" s="11"/>
      <c r="E36" s="33"/>
      <c r="F36" s="33"/>
      <c r="G36" s="33"/>
      <c r="H36" s="33"/>
      <c r="I36" s="33"/>
    </row>
    <row r="37" spans="1:14" x14ac:dyDescent="0.25">
      <c r="B37" s="3" t="s">
        <v>58</v>
      </c>
      <c r="E37" s="36">
        <v>-4699</v>
      </c>
      <c r="F37" s="36">
        <v>-4789</v>
      </c>
      <c r="G37" s="36">
        <v>-2416</v>
      </c>
      <c r="H37" s="36">
        <v>-10417</v>
      </c>
      <c r="I37" s="36">
        <v>-4917</v>
      </c>
    </row>
    <row r="38" spans="1:14" x14ac:dyDescent="0.25">
      <c r="B38" s="3" t="s">
        <v>16</v>
      </c>
      <c r="E38" s="35" t="s">
        <v>57</v>
      </c>
      <c r="F38" s="34">
        <f>F37-E37</f>
        <v>-90</v>
      </c>
      <c r="G38" s="34">
        <f t="shared" ref="G38:I38" si="14">G37-F37</f>
        <v>2373</v>
      </c>
      <c r="H38" s="34">
        <f t="shared" si="14"/>
        <v>-8001</v>
      </c>
      <c r="I38" s="34">
        <f t="shared" si="14"/>
        <v>5500</v>
      </c>
    </row>
    <row r="39" spans="1:14" x14ac:dyDescent="0.25">
      <c r="B39" s="11" t="s">
        <v>10</v>
      </c>
      <c r="E39" s="33" t="s">
        <v>57</v>
      </c>
      <c r="F39" s="33">
        <f>F38/F21</f>
        <v>-2.0928285740861316E-3</v>
      </c>
      <c r="G39" s="33">
        <f t="shared" ref="G39:I39" si="15">G38/G21</f>
        <v>5.1864317873847092E-2</v>
      </c>
      <c r="H39" s="33">
        <f t="shared" si="15"/>
        <v>-0.17001338688085676</v>
      </c>
      <c r="I39" s="33">
        <f t="shared" si="15"/>
        <v>0.1147243486785841</v>
      </c>
    </row>
    <row r="40" spans="1:14" x14ac:dyDescent="0.25">
      <c r="J40" s="3">
        <v>1</v>
      </c>
      <c r="K40" s="3">
        <v>2</v>
      </c>
      <c r="L40" s="3">
        <v>3</v>
      </c>
      <c r="M40" s="3">
        <v>4</v>
      </c>
      <c r="N40" s="3">
        <v>5</v>
      </c>
    </row>
    <row r="41" spans="1:14" x14ac:dyDescent="0.25">
      <c r="A41" s="3" t="s">
        <v>1</v>
      </c>
      <c r="B41" s="6" t="s">
        <v>17</v>
      </c>
      <c r="C41" s="6"/>
      <c r="D41" s="6"/>
      <c r="E41" s="16">
        <v>44561</v>
      </c>
      <c r="F41" s="16">
        <f>EOMONTH(E41,12)</f>
        <v>44926</v>
      </c>
      <c r="G41" s="16">
        <f t="shared" ref="G41" si="16">EOMONTH(F41,12)</f>
        <v>45291</v>
      </c>
      <c r="H41" s="16">
        <f t="shared" ref="H41" si="17">EOMONTH(G41,12)</f>
        <v>45657</v>
      </c>
      <c r="I41" s="16">
        <f t="shared" ref="I41" si="18">EOMONTH(H41,12)</f>
        <v>46022</v>
      </c>
      <c r="J41" s="17">
        <f t="shared" ref="J41" si="19">EOMONTH(I41,12)</f>
        <v>46387</v>
      </c>
      <c r="K41" s="17">
        <f t="shared" ref="K41" si="20">EOMONTH(J41,12)</f>
        <v>46752</v>
      </c>
      <c r="L41" s="17">
        <f t="shared" ref="L41" si="21">EOMONTH(K41,12)</f>
        <v>47118</v>
      </c>
      <c r="M41" s="17">
        <f t="shared" ref="M41" si="22">EOMONTH(L41,12)</f>
        <v>47483</v>
      </c>
      <c r="N41" s="17">
        <f t="shared" ref="N41" si="23">EOMONTH(M41,12)</f>
        <v>47848</v>
      </c>
    </row>
    <row r="42" spans="1:14" x14ac:dyDescent="0.25">
      <c r="B42" s="3" t="s">
        <v>7</v>
      </c>
      <c r="E42" s="37">
        <f>E21</f>
        <v>38655</v>
      </c>
      <c r="F42" s="37">
        <f t="shared" ref="F42:I42" si="24">F21</f>
        <v>43004</v>
      </c>
      <c r="G42" s="37">
        <f t="shared" si="24"/>
        <v>45754</v>
      </c>
      <c r="H42" s="37">
        <f t="shared" si="24"/>
        <v>47061</v>
      </c>
      <c r="I42" s="37">
        <f>I21</f>
        <v>47941</v>
      </c>
      <c r="J42" s="46">
        <f ca="1">I42*(1+J43)</f>
        <v>50314.079500000007</v>
      </c>
      <c r="K42" s="46">
        <f t="shared" ref="K42:N42" ca="1" si="25">J42*(1+K43)</f>
        <v>52634.816416937509</v>
      </c>
      <c r="L42" s="46">
        <f t="shared" ca="1" si="25"/>
        <v>54884.954818761587</v>
      </c>
      <c r="M42" s="46">
        <f t="shared" ca="1" si="25"/>
        <v>57046.049914750321</v>
      </c>
      <c r="N42" s="46">
        <f t="shared" ca="1" si="25"/>
        <v>59099.707711681338</v>
      </c>
    </row>
    <row r="43" spans="1:14" x14ac:dyDescent="0.25">
      <c r="B43" s="11" t="s">
        <v>8</v>
      </c>
      <c r="E43" s="38" t="str">
        <f>E22</f>
        <v>--</v>
      </c>
      <c r="F43" s="39">
        <f t="shared" ref="F43:I43" si="26">F22</f>
        <v>0.11250808433579107</v>
      </c>
      <c r="G43" s="39">
        <f t="shared" si="26"/>
        <v>6.3947539763743011E-2</v>
      </c>
      <c r="H43" s="39">
        <f t="shared" si="26"/>
        <v>2.8565808453905772E-2</v>
      </c>
      <c r="I43" s="39">
        <f t="shared" si="26"/>
        <v>1.8699135164998548E-2</v>
      </c>
      <c r="J43" s="33">
        <f ca="1">OFFSET(J43,$E$12,0)</f>
        <v>4.9500000000000002E-2</v>
      </c>
      <c r="K43" s="33">
        <f t="shared" ref="K43:N43" ca="1" si="27">OFFSET(K43,$E$12,0)</f>
        <v>4.6124999999999999E-2</v>
      </c>
      <c r="L43" s="33">
        <f t="shared" ca="1" si="27"/>
        <v>4.2749999999999996E-2</v>
      </c>
      <c r="M43" s="33">
        <f t="shared" ca="1" si="27"/>
        <v>3.9374999999999993E-2</v>
      </c>
      <c r="N43" s="33">
        <f t="shared" ca="1" si="27"/>
        <v>3.5999999999999997E-2</v>
      </c>
    </row>
    <row r="44" spans="1:14" x14ac:dyDescent="0.25">
      <c r="B44" s="11" t="s">
        <v>40</v>
      </c>
      <c r="J44" s="45">
        <f>J45*J12</f>
        <v>4.0500000000000001E-2</v>
      </c>
      <c r="K44" s="44">
        <f>J44-($J$44-$N$44)/($N$40-$J$40)</f>
        <v>3.6375000000000005E-2</v>
      </c>
      <c r="L44" s="44">
        <f t="shared" ref="L44:M44" si="28">K44-($J$44-$N$44)/($N$40-$J$40)</f>
        <v>3.2250000000000001E-2</v>
      </c>
      <c r="M44" s="44">
        <f t="shared" si="28"/>
        <v>2.8125000000000001E-2</v>
      </c>
      <c r="N44" s="41">
        <f>N45*J13</f>
        <v>2.4E-2</v>
      </c>
    </row>
    <row r="45" spans="1:14" x14ac:dyDescent="0.25">
      <c r="B45" s="11" t="s">
        <v>41</v>
      </c>
      <c r="J45" s="42">
        <f>O12</f>
        <v>4.4999999999999998E-2</v>
      </c>
      <c r="K45" s="44">
        <f>J45-($J$45-$N$45)/($N$40-$J$40)</f>
        <v>4.1249999999999995E-2</v>
      </c>
      <c r="L45" s="44">
        <f>K45-($J$45-$N$45)/($N$40-$J$40)</f>
        <v>3.7499999999999992E-2</v>
      </c>
      <c r="M45" s="44">
        <f>L45-($J$45-$N$45)/($N$40-$J$40)</f>
        <v>3.3749999999999988E-2</v>
      </c>
      <c r="N45" s="42">
        <f>O13</f>
        <v>0.03</v>
      </c>
    </row>
    <row r="46" spans="1:14" x14ac:dyDescent="0.25">
      <c r="B46" s="11" t="s">
        <v>42</v>
      </c>
      <c r="J46" s="41">
        <f>J45*T12</f>
        <v>4.9500000000000002E-2</v>
      </c>
      <c r="K46" s="44">
        <f>J46-($J$46-$N$46)/($N$40-$J$40)</f>
        <v>4.6124999999999999E-2</v>
      </c>
      <c r="L46" s="44">
        <f t="shared" ref="L46:M46" si="29">K46-($J$46-$N$46)/($N$40-$J$40)</f>
        <v>4.2749999999999996E-2</v>
      </c>
      <c r="M46" s="44">
        <f t="shared" si="29"/>
        <v>3.9374999999999993E-2</v>
      </c>
      <c r="N46" s="41">
        <f>N45*T13</f>
        <v>3.5999999999999997E-2</v>
      </c>
    </row>
    <row r="47" spans="1:14" x14ac:dyDescent="0.25">
      <c r="B47" s="11"/>
    </row>
    <row r="48" spans="1:14" x14ac:dyDescent="0.25">
      <c r="B48" s="3" t="s">
        <v>9</v>
      </c>
      <c r="E48" s="37">
        <v>10308</v>
      </c>
      <c r="F48" s="37">
        <v>10909</v>
      </c>
      <c r="G48" s="37">
        <v>11311</v>
      </c>
      <c r="H48" s="37">
        <v>9992</v>
      </c>
      <c r="I48" s="37">
        <v>13762</v>
      </c>
      <c r="J48" s="46">
        <f ca="1">J42*J49</f>
        <v>15597.364645000001</v>
      </c>
      <c r="K48" s="46">
        <f t="shared" ref="K48:N48" ca="1" si="30">K42*K49</f>
        <v>16645.760691856489</v>
      </c>
      <c r="L48" s="46">
        <f t="shared" ca="1" si="30"/>
        <v>17700.397929050614</v>
      </c>
      <c r="M48" s="46">
        <f t="shared" ca="1" si="30"/>
        <v>18753.888909474168</v>
      </c>
      <c r="N48" s="46">
        <f t="shared" ca="1" si="30"/>
        <v>19798.40208341325</v>
      </c>
    </row>
    <row r="49" spans="1:14" x14ac:dyDescent="0.25">
      <c r="B49" s="3" t="s">
        <v>10</v>
      </c>
      <c r="E49" s="38">
        <v>0.26666666666666666</v>
      </c>
      <c r="F49" s="39">
        <v>0.25367407683006232</v>
      </c>
      <c r="G49" s="39">
        <v>0.24721335839489444</v>
      </c>
      <c r="H49" s="39">
        <v>0.21232018019166612</v>
      </c>
      <c r="I49" s="39">
        <v>0.28706117936630443</v>
      </c>
      <c r="J49" s="33">
        <f ca="1">OFFSET(J49,$E$13,0)</f>
        <v>0.31</v>
      </c>
      <c r="K49" s="33">
        <f t="shared" ref="K49:N49" ca="1" si="31">OFFSET(K49,$E$13,0)</f>
        <v>0.31625000000000003</v>
      </c>
      <c r="L49" s="33">
        <f t="shared" ca="1" si="31"/>
        <v>0.32250000000000001</v>
      </c>
      <c r="M49" s="33">
        <f t="shared" ca="1" si="31"/>
        <v>0.32874999999999999</v>
      </c>
      <c r="N49" s="33">
        <f t="shared" ca="1" si="31"/>
        <v>0.33500000000000002</v>
      </c>
    </row>
    <row r="50" spans="1:14" x14ac:dyDescent="0.25">
      <c r="B50" s="11" t="s">
        <v>40</v>
      </c>
      <c r="J50" s="41">
        <f>J51*J14</f>
        <v>0.29449999999999998</v>
      </c>
      <c r="K50" s="41">
        <f>J50-($J$50-$N$50)/($N$40-$J$40)</f>
        <v>0.29876249999999999</v>
      </c>
      <c r="L50" s="41">
        <f t="shared" ref="L50:M50" si="32">K50-($J$50-$N$50)/($N$40-$J$40)</f>
        <v>0.30302499999999999</v>
      </c>
      <c r="M50" s="41">
        <f t="shared" si="32"/>
        <v>0.30728749999999999</v>
      </c>
      <c r="N50" s="41">
        <f>N51*J15</f>
        <v>0.31155000000000005</v>
      </c>
    </row>
    <row r="51" spans="1:14" x14ac:dyDescent="0.25">
      <c r="B51" s="11" t="s">
        <v>41</v>
      </c>
      <c r="J51" s="42">
        <f>O14</f>
        <v>0.31</v>
      </c>
      <c r="K51" s="41">
        <f>J51-($J$51-$N$51)/($N$40-$J$40)</f>
        <v>0.31625000000000003</v>
      </c>
      <c r="L51" s="41">
        <f t="shared" ref="L51:M51" si="33">K51-($J$51-$N$51)/($N$40-$J$40)</f>
        <v>0.32250000000000001</v>
      </c>
      <c r="M51" s="41">
        <f t="shared" si="33"/>
        <v>0.32874999999999999</v>
      </c>
      <c r="N51" s="42">
        <f>O15</f>
        <v>0.33500000000000002</v>
      </c>
    </row>
    <row r="52" spans="1:14" x14ac:dyDescent="0.25">
      <c r="B52" s="11" t="s">
        <v>42</v>
      </c>
      <c r="J52" s="41">
        <f>J51*T14</f>
        <v>0.32550000000000001</v>
      </c>
      <c r="K52" s="41">
        <f>J52-($J$52-$N$52)/($N$40-$J$40)</f>
        <v>0.33206250000000004</v>
      </c>
      <c r="L52" s="41">
        <f t="shared" ref="L52:M52" si="34">K52-($J$52-$N$52)/($N$40-$J$40)</f>
        <v>0.33862500000000006</v>
      </c>
      <c r="M52" s="41">
        <f t="shared" si="34"/>
        <v>0.34518750000000009</v>
      </c>
      <c r="N52" s="41">
        <f>N51*T15</f>
        <v>0.35175000000000006</v>
      </c>
    </row>
    <row r="54" spans="1:14" x14ac:dyDescent="0.25">
      <c r="B54" s="3" t="s">
        <v>11</v>
      </c>
      <c r="E54" s="37">
        <v>2621</v>
      </c>
      <c r="F54" s="37">
        <v>2115</v>
      </c>
      <c r="G54" s="37">
        <v>2249</v>
      </c>
      <c r="H54" s="37">
        <v>2437</v>
      </c>
      <c r="I54" s="37">
        <v>2861</v>
      </c>
      <c r="J54" s="46">
        <f ca="1">J48*J55</f>
        <v>2963.4992825500003</v>
      </c>
      <c r="K54" s="46">
        <f t="shared" ref="K54:N54" ca="1" si="35">K48*K55</f>
        <v>3575.4110488210481</v>
      </c>
      <c r="L54" s="46">
        <f t="shared" ca="1" si="35"/>
        <v>3685.4886874260642</v>
      </c>
      <c r="M54" s="46">
        <f t="shared" ca="1" si="35"/>
        <v>3949.6581350262913</v>
      </c>
      <c r="N54" s="46">
        <f t="shared" ca="1" si="35"/>
        <v>4208.4812407456257</v>
      </c>
    </row>
    <row r="55" spans="1:14" x14ac:dyDescent="0.25">
      <c r="B55" s="11" t="s">
        <v>12</v>
      </c>
      <c r="E55" s="38">
        <v>0.25426852929763288</v>
      </c>
      <c r="F55" s="38">
        <v>0.19387661563846365</v>
      </c>
      <c r="G55" s="38">
        <v>0.19883299443020069</v>
      </c>
      <c r="H55" s="38">
        <v>0.24389511609287429</v>
      </c>
      <c r="I55" s="38">
        <v>0.20789129486993169</v>
      </c>
      <c r="J55" s="49">
        <v>0.19</v>
      </c>
      <c r="K55" s="48">
        <f>AVERAGE(E55:J55)</f>
        <v>0.2147940917215172</v>
      </c>
      <c r="L55" s="48">
        <f t="shared" ref="L55:N55" si="36">AVERAGE(F55:K55)</f>
        <v>0.20821501879216456</v>
      </c>
      <c r="M55" s="48">
        <f t="shared" si="36"/>
        <v>0.21060475265111475</v>
      </c>
      <c r="N55" s="48">
        <f t="shared" si="36"/>
        <v>0.21256671235460042</v>
      </c>
    </row>
    <row r="57" spans="1:14" x14ac:dyDescent="0.25">
      <c r="A57" s="3" t="s">
        <v>1</v>
      </c>
      <c r="B57" s="20" t="s">
        <v>36</v>
      </c>
      <c r="C57" s="21"/>
      <c r="D57" s="21"/>
      <c r="E57" s="21"/>
      <c r="F57" s="21"/>
      <c r="G57" s="21"/>
      <c r="H57" s="21"/>
      <c r="I57" s="21"/>
      <c r="J57" s="53">
        <f ca="1">J48-J54</f>
        <v>12633.86536245</v>
      </c>
      <c r="K57" s="53">
        <f t="shared" ref="K57:N57" ca="1" si="37">K48-K54</f>
        <v>13070.349643035441</v>
      </c>
      <c r="L57" s="53">
        <f t="shared" ca="1" si="37"/>
        <v>14014.909241624549</v>
      </c>
      <c r="M57" s="53">
        <f t="shared" ca="1" si="37"/>
        <v>14804.230774447877</v>
      </c>
      <c r="N57" s="54">
        <f t="shared" ca="1" si="37"/>
        <v>15589.920842667623</v>
      </c>
    </row>
    <row r="59" spans="1:14" x14ac:dyDescent="0.25">
      <c r="B59" s="3" t="s">
        <v>14</v>
      </c>
      <c r="E59" s="37">
        <f>E31</f>
        <v>1425</v>
      </c>
      <c r="F59" s="37">
        <f t="shared" ref="F59:I59" si="38">F31</f>
        <v>1260</v>
      </c>
      <c r="G59" s="37">
        <f t="shared" si="38"/>
        <v>1128</v>
      </c>
      <c r="H59" s="37">
        <f t="shared" si="38"/>
        <v>1075</v>
      </c>
      <c r="I59" s="37">
        <f t="shared" si="38"/>
        <v>1050</v>
      </c>
      <c r="J59" s="46">
        <f ca="1">J42*J60</f>
        <v>1056.5956695000002</v>
      </c>
      <c r="K59" s="46">
        <f t="shared" ref="K59:N59" ca="1" si="39">K42*K60</f>
        <v>1105.3311447556878</v>
      </c>
      <c r="L59" s="46">
        <f t="shared" ca="1" si="39"/>
        <v>1152.5840511939934</v>
      </c>
      <c r="M59" s="46">
        <f t="shared" ca="1" si="39"/>
        <v>1197.9670482097567</v>
      </c>
      <c r="N59" s="46">
        <f t="shared" ca="1" si="39"/>
        <v>1241.0938619453082</v>
      </c>
    </row>
    <row r="60" spans="1:14" x14ac:dyDescent="0.25">
      <c r="B60" s="11" t="s">
        <v>10</v>
      </c>
      <c r="E60" s="38">
        <f>E32</f>
        <v>3.6864571206829649E-2</v>
      </c>
      <c r="F60" s="38">
        <f t="shared" ref="F60:I60" si="40">F32</f>
        <v>2.9299600037205841E-2</v>
      </c>
      <c r="G60" s="38">
        <f t="shared" si="40"/>
        <v>2.4653582200463348E-2</v>
      </c>
      <c r="H60" s="38">
        <f t="shared" si="40"/>
        <v>2.2842693525424448E-2</v>
      </c>
      <c r="I60" s="38">
        <f t="shared" si="40"/>
        <v>2.1901921111366053E-2</v>
      </c>
      <c r="J60" s="43">
        <v>2.1000000000000001E-2</v>
      </c>
      <c r="K60" s="43">
        <v>2.1000000000000001E-2</v>
      </c>
      <c r="L60" s="43">
        <v>2.1000000000000001E-2</v>
      </c>
      <c r="M60" s="43">
        <v>2.1000000000000001E-2</v>
      </c>
      <c r="N60" s="43">
        <v>2.1000000000000001E-2</v>
      </c>
    </row>
    <row r="62" spans="1:14" x14ac:dyDescent="0.25">
      <c r="B62" s="3" t="s">
        <v>15</v>
      </c>
      <c r="E62" s="37">
        <f>E34</f>
        <v>1367</v>
      </c>
      <c r="F62" s="37">
        <f t="shared" ref="F62:I62" si="41">F34</f>
        <v>1484</v>
      </c>
      <c r="G62" s="37">
        <f t="shared" si="41"/>
        <v>1852</v>
      </c>
      <c r="H62" s="37">
        <f t="shared" si="41"/>
        <v>2064</v>
      </c>
      <c r="I62" s="37">
        <f t="shared" si="41"/>
        <v>2112</v>
      </c>
      <c r="J62" s="46">
        <f ca="1">J42*J63</f>
        <v>1995.0739363508349</v>
      </c>
      <c r="K62" s="46">
        <f t="shared" ref="K62:N62" ca="1" si="42">K42*K63</f>
        <v>2087.096721665017</v>
      </c>
      <c r="L62" s="46">
        <f t="shared" ca="1" si="42"/>
        <v>2176.3201065161966</v>
      </c>
      <c r="M62" s="46">
        <f t="shared" ca="1" si="42"/>
        <v>2262.0127107102717</v>
      </c>
      <c r="N62" s="46">
        <f t="shared" ca="1" si="42"/>
        <v>2343.4451682958415</v>
      </c>
    </row>
    <row r="63" spans="1:14" x14ac:dyDescent="0.25">
      <c r="B63" s="11" t="s">
        <v>10</v>
      </c>
      <c r="E63" s="39">
        <f>E35</f>
        <v>3.5364118484025354E-2</v>
      </c>
      <c r="F63" s="39">
        <f t="shared" ref="F63:I63" si="43">F35</f>
        <v>3.4508417821597991E-2</v>
      </c>
      <c r="G63" s="39">
        <f t="shared" si="43"/>
        <v>4.0477335314945143E-2</v>
      </c>
      <c r="H63" s="39">
        <f t="shared" si="43"/>
        <v>4.3857971568814942E-2</v>
      </c>
      <c r="I63" s="39">
        <f t="shared" si="43"/>
        <v>4.4054149892576291E-2</v>
      </c>
      <c r="J63" s="48">
        <f>AVERAGE(E63:I63)</f>
        <v>3.965239861639195E-2</v>
      </c>
      <c r="K63" s="51">
        <f>J63</f>
        <v>3.965239861639195E-2</v>
      </c>
      <c r="L63" s="51">
        <f t="shared" ref="L63:N63" si="44">K63</f>
        <v>3.965239861639195E-2</v>
      </c>
      <c r="M63" s="51">
        <f t="shared" si="44"/>
        <v>3.965239861639195E-2</v>
      </c>
      <c r="N63" s="51">
        <f t="shared" si="44"/>
        <v>3.965239861639195E-2</v>
      </c>
    </row>
    <row r="65" spans="1:14" x14ac:dyDescent="0.25">
      <c r="B65" s="3" t="s">
        <v>16</v>
      </c>
      <c r="E65" s="52" t="str">
        <f>E38</f>
        <v>--</v>
      </c>
      <c r="F65" s="37">
        <f t="shared" ref="F65:I65" si="45">F38</f>
        <v>-90</v>
      </c>
      <c r="G65" s="37">
        <f t="shared" si="45"/>
        <v>2373</v>
      </c>
      <c r="H65" s="37">
        <f t="shared" si="45"/>
        <v>-8001</v>
      </c>
      <c r="I65" s="37">
        <f t="shared" si="45"/>
        <v>5500</v>
      </c>
      <c r="J65" s="46">
        <f ca="1">J42*J66</f>
        <v>503.14079500000008</v>
      </c>
      <c r="K65" s="46">
        <f t="shared" ref="K65:N65" ca="1" si="46">K42*K66</f>
        <v>526.34816416937508</v>
      </c>
      <c r="L65" s="46">
        <f t="shared" ca="1" si="46"/>
        <v>548.84954818761594</v>
      </c>
      <c r="M65" s="46">
        <f t="shared" ca="1" si="46"/>
        <v>570.46049914750324</v>
      </c>
      <c r="N65" s="46">
        <f t="shared" ca="1" si="46"/>
        <v>590.99707711681344</v>
      </c>
    </row>
    <row r="66" spans="1:14" x14ac:dyDescent="0.25">
      <c r="B66" s="11" t="s">
        <v>10</v>
      </c>
      <c r="E66" s="38" t="str">
        <f>E39</f>
        <v>--</v>
      </c>
      <c r="F66" s="39">
        <f t="shared" ref="F66:I66" si="47">F39</f>
        <v>-2.0928285740861316E-3</v>
      </c>
      <c r="G66" s="39">
        <f t="shared" si="47"/>
        <v>5.1864317873847092E-2</v>
      </c>
      <c r="H66" s="39">
        <f t="shared" si="47"/>
        <v>-0.17001338688085676</v>
      </c>
      <c r="I66" s="39">
        <f t="shared" si="47"/>
        <v>0.1147243486785841</v>
      </c>
      <c r="J66" s="49">
        <v>0.01</v>
      </c>
      <c r="K66" s="49">
        <v>0.01</v>
      </c>
      <c r="L66" s="49">
        <v>0.01</v>
      </c>
      <c r="M66" s="49">
        <v>0.01</v>
      </c>
      <c r="N66" s="49">
        <v>0.01</v>
      </c>
    </row>
    <row r="67" spans="1:14" x14ac:dyDescent="0.25">
      <c r="J67" s="3" t="s">
        <v>37</v>
      </c>
    </row>
    <row r="68" spans="1:14" x14ac:dyDescent="0.25">
      <c r="B68" s="20" t="s">
        <v>18</v>
      </c>
      <c r="C68" s="21"/>
      <c r="D68" s="21"/>
      <c r="E68" s="21"/>
      <c r="F68" s="21"/>
      <c r="G68" s="21"/>
      <c r="H68" s="21"/>
      <c r="I68" s="21"/>
      <c r="J68" s="53">
        <f ca="1">J57+J59-J62-J65</f>
        <v>11192.246300599167</v>
      </c>
      <c r="K68" s="53">
        <f t="shared" ref="K68:N68" ca="1" si="48">K57+K59-K62-K65</f>
        <v>11562.235901956738</v>
      </c>
      <c r="L68" s="53">
        <f t="shared" ca="1" si="48"/>
        <v>12442.323638114729</v>
      </c>
      <c r="M68" s="53">
        <f t="shared" ca="1" si="48"/>
        <v>13169.724612799859</v>
      </c>
      <c r="N68" s="54">
        <f t="shared" ca="1" si="48"/>
        <v>13896.572459200275</v>
      </c>
    </row>
    <row r="69" spans="1:14" x14ac:dyDescent="0.25">
      <c r="B69" s="20" t="s">
        <v>19</v>
      </c>
      <c r="C69" s="21"/>
      <c r="D69" s="21"/>
      <c r="E69" s="21"/>
      <c r="F69" s="21"/>
      <c r="G69" s="21"/>
      <c r="H69" s="21"/>
      <c r="I69" s="21"/>
      <c r="J69" s="53">
        <f ca="1">J68/(1+wacc)^J71</f>
        <v>11035.361922773793</v>
      </c>
      <c r="K69" s="53">
        <f ca="1">K68/(1+wacc)^K71</f>
        <v>10925.73382569537</v>
      </c>
      <c r="L69" s="53">
        <f ca="1">L68/(1+wacc)^L71</f>
        <v>11108.376076093191</v>
      </c>
      <c r="M69" s="53">
        <f ca="1">M68/(1+wacc)^M71</f>
        <v>11108.772308824116</v>
      </c>
      <c r="N69" s="54">
        <f ca="1">N68/(1+wacc)^N71</f>
        <v>11074.837401512163</v>
      </c>
    </row>
    <row r="70" spans="1:14" x14ac:dyDescent="0.25">
      <c r="B70" s="7"/>
    </row>
    <row r="71" spans="1:14" x14ac:dyDescent="0.25">
      <c r="A71" s="3" t="s">
        <v>1</v>
      </c>
      <c r="B71" s="8" t="s">
        <v>49</v>
      </c>
      <c r="J71" s="64">
        <f>J72/2</f>
        <v>0.24861111111111112</v>
      </c>
      <c r="K71" s="64">
        <f>J72+0.5</f>
        <v>0.99722222222222223</v>
      </c>
      <c r="L71" s="64">
        <f>K71+1</f>
        <v>1.9972222222222222</v>
      </c>
      <c r="M71" s="64">
        <f t="shared" ref="M71:N71" si="49">L71+1</f>
        <v>2.9972222222222222</v>
      </c>
      <c r="N71" s="64">
        <f t="shared" si="49"/>
        <v>3.9972222222222222</v>
      </c>
    </row>
    <row r="72" spans="1:14" x14ac:dyDescent="0.25">
      <c r="B72" s="8" t="s">
        <v>50</v>
      </c>
      <c r="J72" s="64">
        <f>YEARFRAC(C5,C6)</f>
        <v>0.49722222222222223</v>
      </c>
    </row>
    <row r="74" spans="1:14" x14ac:dyDescent="0.25">
      <c r="B74" s="20" t="s">
        <v>20</v>
      </c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54">
        <f ca="1">(N68*(1+tgr))/(wacc-tgr)</f>
        <v>426159.50933866319</v>
      </c>
    </row>
    <row r="75" spans="1:14" x14ac:dyDescent="0.25">
      <c r="B75" s="20" t="s">
        <v>54</v>
      </c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54">
        <f ca="1">N74/(1+wacc)^N71</f>
        <v>339626.71636409452</v>
      </c>
    </row>
    <row r="77" spans="1:14" x14ac:dyDescent="0.25">
      <c r="B77" s="7" t="s">
        <v>21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66">
        <f ca="1">SUM(J69:N69,N75)</f>
        <v>394879.79789899313</v>
      </c>
    </row>
    <row r="78" spans="1:14" x14ac:dyDescent="0.25">
      <c r="B78" s="13" t="s">
        <v>24</v>
      </c>
      <c r="N78" s="34">
        <v>13872</v>
      </c>
    </row>
    <row r="79" spans="1:14" x14ac:dyDescent="0.25">
      <c r="B79" s="14" t="s">
        <v>25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65">
        <v>45492</v>
      </c>
    </row>
    <row r="80" spans="1:14" x14ac:dyDescent="0.25">
      <c r="B80" s="7" t="s">
        <v>22</v>
      </c>
      <c r="N80" s="66">
        <f ca="1">N77+N78-N79</f>
        <v>363259.79789899313</v>
      </c>
    </row>
    <row r="81" spans="1:14" x14ac:dyDescent="0.25">
      <c r="B81" s="12" t="s">
        <v>61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65">
        <v>4314</v>
      </c>
    </row>
    <row r="82" spans="1:14" x14ac:dyDescent="0.25">
      <c r="A82" s="3" t="s">
        <v>1</v>
      </c>
      <c r="B82" s="7" t="s">
        <v>23</v>
      </c>
      <c r="N82" s="67">
        <f ca="1">N80/N81</f>
        <v>84.204867385023903</v>
      </c>
    </row>
    <row r="85" spans="1:14" x14ac:dyDescent="0.25">
      <c r="A85" s="3" t="s">
        <v>1</v>
      </c>
      <c r="B85" s="6" t="s">
        <v>62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ht="5.0999999999999996" customHeight="1" x14ac:dyDescent="0.25"/>
    <row r="87" spans="1:14" ht="15.75" x14ac:dyDescent="0.25">
      <c r="B87" s="71"/>
      <c r="C87" s="72"/>
      <c r="D87" s="72"/>
      <c r="E87" s="72"/>
      <c r="F87" s="73" t="s">
        <v>63</v>
      </c>
      <c r="G87" s="74"/>
      <c r="H87" s="74"/>
      <c r="I87" s="74"/>
      <c r="J87" s="75"/>
    </row>
    <row r="88" spans="1:14" x14ac:dyDescent="0.25">
      <c r="B88" s="76"/>
      <c r="C88" s="81"/>
      <c r="D88" s="81"/>
      <c r="E88" s="85"/>
      <c r="F88" s="86"/>
      <c r="G88" s="81"/>
      <c r="H88" s="81"/>
      <c r="I88" s="81"/>
      <c r="J88" s="77"/>
    </row>
    <row r="89" spans="1:14" x14ac:dyDescent="0.25">
      <c r="B89" s="76"/>
      <c r="C89" s="87">
        <f ca="1">N82</f>
        <v>84.204867385023903</v>
      </c>
      <c r="D89" s="82">
        <v>0.01</v>
      </c>
      <c r="E89" s="82">
        <v>1.4999999999999999E-2</v>
      </c>
      <c r="F89" s="82">
        <v>0.02</v>
      </c>
      <c r="G89" s="88">
        <v>2.5000000000000001E-2</v>
      </c>
      <c r="H89" s="82">
        <v>0.03</v>
      </c>
      <c r="I89" s="82">
        <v>3.5000000000000003E-2</v>
      </c>
      <c r="J89" s="78">
        <v>0.04</v>
      </c>
    </row>
    <row r="90" spans="1:14" ht="15" customHeight="1" x14ac:dyDescent="0.25">
      <c r="B90" s="79" t="s">
        <v>3</v>
      </c>
      <c r="C90" s="83">
        <v>4.4999999999999998E-2</v>
      </c>
      <c r="D90" s="90">
        <f t="dataTable" ref="D90:J96" dt2D="1" dtr="1" r1="E18" r2="E17" ca="1"/>
        <v>83.779553225378635</v>
      </c>
      <c r="E90" s="91">
        <v>97.223057518893867</v>
      </c>
      <c r="F90" s="91">
        <v>116.04396352981527</v>
      </c>
      <c r="G90" s="92">
        <v>144.27532254619732</v>
      </c>
      <c r="H90" s="91">
        <v>191.32758757350075</v>
      </c>
      <c r="I90" s="91">
        <v>285.43211762810773</v>
      </c>
      <c r="J90" s="99">
        <v>567.74570779192834</v>
      </c>
    </row>
    <row r="91" spans="1:14" x14ac:dyDescent="0.25">
      <c r="B91" s="79"/>
      <c r="C91" s="83">
        <v>0.05</v>
      </c>
      <c r="D91" s="93">
        <v>72.616087710870943</v>
      </c>
      <c r="E91" s="94">
        <v>82.555494976159636</v>
      </c>
      <c r="F91" s="94">
        <v>95.80803799654457</v>
      </c>
      <c r="G91" s="95">
        <v>114.3615982250835</v>
      </c>
      <c r="H91" s="94">
        <v>142.19193856789184</v>
      </c>
      <c r="I91" s="94">
        <v>188.57583913923915</v>
      </c>
      <c r="J91" s="100">
        <v>281.34364028193369</v>
      </c>
    </row>
    <row r="92" spans="1:14" x14ac:dyDescent="0.25">
      <c r="B92" s="79"/>
      <c r="C92" s="83">
        <v>5.5E-2</v>
      </c>
      <c r="D92" s="93">
        <v>63.934001774402731</v>
      </c>
      <c r="E92" s="94">
        <v>71.555358083609633</v>
      </c>
      <c r="F92" s="96">
        <v>81.354244766875667</v>
      </c>
      <c r="G92" s="95">
        <v>94.419427011230397</v>
      </c>
      <c r="H92" s="94">
        <v>112.71068215332701</v>
      </c>
      <c r="I92" s="94">
        <v>140.1475648664719</v>
      </c>
      <c r="J92" s="100">
        <v>185.8757027217134</v>
      </c>
    </row>
    <row r="93" spans="1:14" x14ac:dyDescent="0.25">
      <c r="B93" s="79"/>
      <c r="C93" s="84">
        <v>5.8424073518351972E-2</v>
      </c>
      <c r="D93" s="97">
        <v>59.023025770446552</v>
      </c>
      <c r="E93" s="95">
        <v>65.48395598156101</v>
      </c>
      <c r="F93" s="95">
        <v>73.626365957705758</v>
      </c>
      <c r="G93" s="98">
        <v>84.204867385023903</v>
      </c>
      <c r="H93" s="95">
        <v>98.505038551370873</v>
      </c>
      <c r="I93" s="95">
        <v>118.9101133567639</v>
      </c>
      <c r="J93" s="101">
        <v>150.39041253372051</v>
      </c>
    </row>
    <row r="94" spans="1:14" x14ac:dyDescent="0.25">
      <c r="B94" s="79"/>
      <c r="C94" s="83">
        <v>6.5000000000000002E-2</v>
      </c>
      <c r="D94" s="93">
        <v>51.306942055585687</v>
      </c>
      <c r="E94" s="94">
        <v>56.156386783778018</v>
      </c>
      <c r="F94" s="94">
        <v>62.08348589601313</v>
      </c>
      <c r="G94" s="95">
        <v>69.492359786307006</v>
      </c>
      <c r="H94" s="94">
        <v>79.018054788113417</v>
      </c>
      <c r="I94" s="94">
        <v>91.718981457188633</v>
      </c>
      <c r="J94" s="100">
        <v>109.5002787938939</v>
      </c>
    </row>
    <row r="95" spans="1:14" x14ac:dyDescent="0.25">
      <c r="B95" s="79"/>
      <c r="C95" s="83">
        <v>7.0000000000000007E-2</v>
      </c>
      <c r="D95" s="93">
        <v>46.57241997249249</v>
      </c>
      <c r="E95" s="94">
        <v>50.5572876849686</v>
      </c>
      <c r="F95" s="94">
        <v>55.339128939939933</v>
      </c>
      <c r="G95" s="95">
        <v>61.183601584904892</v>
      </c>
      <c r="H95" s="94">
        <v>68.489192391111104</v>
      </c>
      <c r="I95" s="94">
        <v>77.88209485623338</v>
      </c>
      <c r="J95" s="100">
        <v>90.405964809729738</v>
      </c>
    </row>
    <row r="96" spans="1:14" x14ac:dyDescent="0.25">
      <c r="B96" s="89"/>
      <c r="C96" s="80">
        <v>7.4999999999999997E-2</v>
      </c>
      <c r="D96" s="102">
        <v>42.566653150310763</v>
      </c>
      <c r="E96" s="103">
        <v>45.89167731407732</v>
      </c>
      <c r="F96" s="103">
        <v>49.821251325801441</v>
      </c>
      <c r="G96" s="104">
        <v>54.536740139870361</v>
      </c>
      <c r="H96" s="103">
        <v>60.300115357065728</v>
      </c>
      <c r="I96" s="103">
        <v>67.504334378559932</v>
      </c>
      <c r="J96" s="105">
        <v>76.766901691909652</v>
      </c>
    </row>
  </sheetData>
  <mergeCells count="1">
    <mergeCell ref="B90:B9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EF4B-A97B-4138-85EC-44CB2CE763A9}">
  <dimension ref="A1:F20"/>
  <sheetViews>
    <sheetView showGridLines="0" tabSelected="1" workbookViewId="0"/>
  </sheetViews>
  <sheetFormatPr defaultRowHeight="15" x14ac:dyDescent="0.25"/>
  <cols>
    <col min="1" max="1" width="3.625" style="8" customWidth="1"/>
    <col min="2" max="4" width="9" style="8"/>
    <col min="5" max="5" width="10.625" style="8" customWidth="1"/>
    <col min="6" max="16384" width="9" style="8"/>
  </cols>
  <sheetData>
    <row r="1" spans="1:6" customFormat="1" ht="15.75" x14ac:dyDescent="0.25"/>
    <row r="2" spans="1:6" s="2" customFormat="1" ht="21" x14ac:dyDescent="0.35">
      <c r="B2" s="1" t="s">
        <v>26</v>
      </c>
    </row>
    <row r="4" spans="1:6" x14ac:dyDescent="0.25">
      <c r="A4" s="8" t="s">
        <v>1</v>
      </c>
      <c r="B4" s="6" t="s">
        <v>3</v>
      </c>
      <c r="C4" s="10"/>
      <c r="D4" s="10"/>
      <c r="E4" s="10"/>
      <c r="F4" s="10"/>
    </row>
    <row r="5" spans="1:6" x14ac:dyDescent="0.25">
      <c r="B5" s="7" t="s">
        <v>27</v>
      </c>
    </row>
    <row r="6" spans="1:6" x14ac:dyDescent="0.25">
      <c r="B6" s="8" t="s">
        <v>28</v>
      </c>
      <c r="E6" s="46">
        <f>1551+1822+42119-10270-3602-1934</f>
        <v>29686</v>
      </c>
    </row>
    <row r="7" spans="1:6" x14ac:dyDescent="0.25">
      <c r="B7" s="8" t="s">
        <v>29</v>
      </c>
      <c r="E7" s="56">
        <f>E6/E18</f>
        <v>7.8062300479113084E-2</v>
      </c>
    </row>
    <row r="8" spans="1:6" x14ac:dyDescent="0.25">
      <c r="B8" s="8" t="s">
        <v>30</v>
      </c>
      <c r="E8" s="55">
        <f>4.48%+1.15%</f>
        <v>5.6300000000000003E-2</v>
      </c>
    </row>
    <row r="9" spans="1:6" x14ac:dyDescent="0.25">
      <c r="B9" s="8" t="s">
        <v>5</v>
      </c>
      <c r="E9" s="23">
        <v>0.21</v>
      </c>
    </row>
    <row r="11" spans="1:6" x14ac:dyDescent="0.25">
      <c r="B11" s="8" t="s">
        <v>22</v>
      </c>
      <c r="E11" s="46">
        <v>350600</v>
      </c>
    </row>
    <row r="12" spans="1:6" x14ac:dyDescent="0.25">
      <c r="B12" s="8" t="s">
        <v>31</v>
      </c>
      <c r="E12" s="56">
        <f>E11/E18</f>
        <v>0.92193769952088689</v>
      </c>
    </row>
    <row r="13" spans="1:6" x14ac:dyDescent="0.25">
      <c r="B13" s="8" t="s">
        <v>32</v>
      </c>
      <c r="E13" s="56">
        <f>E14+(E16*E15)</f>
        <v>5.9604999999999998E-2</v>
      </c>
    </row>
    <row r="14" spans="1:6" x14ac:dyDescent="0.25">
      <c r="B14" s="8" t="s">
        <v>33</v>
      </c>
      <c r="E14" s="55">
        <v>4.48E-2</v>
      </c>
    </row>
    <row r="15" spans="1:6" x14ac:dyDescent="0.25">
      <c r="B15" s="8" t="s">
        <v>60</v>
      </c>
      <c r="E15" s="55">
        <v>4.2299999999999997E-2</v>
      </c>
    </row>
    <row r="16" spans="1:6" x14ac:dyDescent="0.25">
      <c r="B16" s="8" t="s">
        <v>34</v>
      </c>
      <c r="E16" s="19">
        <v>0.35</v>
      </c>
    </row>
    <row r="18" spans="1:5" x14ac:dyDescent="0.25">
      <c r="B18" s="15" t="s">
        <v>35</v>
      </c>
      <c r="C18" s="15"/>
      <c r="D18" s="15"/>
      <c r="E18" s="57">
        <f>E11+E6</f>
        <v>380286</v>
      </c>
    </row>
    <row r="20" spans="1:5" x14ac:dyDescent="0.25">
      <c r="A20" s="8" t="s">
        <v>1</v>
      </c>
      <c r="B20" s="20" t="s">
        <v>3</v>
      </c>
      <c r="C20" s="47"/>
      <c r="D20" s="47"/>
      <c r="E20" s="58">
        <f>(E13*E12)+(E7*(E8*(1-E9)))</f>
        <v>5.8424073518351972E-2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DCF</vt:lpstr>
      <vt:lpstr>WACC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Norrman</dc:creator>
  <cp:lastModifiedBy>Simon Norrman</cp:lastModifiedBy>
  <dcterms:created xsi:type="dcterms:W3CDTF">2026-06-23T19:01:33Z</dcterms:created>
  <dcterms:modified xsi:type="dcterms:W3CDTF">2026-07-02T13:59:27Z</dcterms:modified>
</cp:coreProperties>
</file>